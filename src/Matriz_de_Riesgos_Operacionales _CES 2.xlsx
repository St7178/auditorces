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8"/>
  <workbookPr defaultThemeVersion="124226"/>
  <mc:AlternateContent xmlns:mc="http://schemas.openxmlformats.org/markup-compatibility/2006">
    <mc:Choice Requires="x15">
      <x15ac:absPath xmlns:x15ac="http://schemas.microsoft.com/office/spreadsheetml/2010/11/ac" url="https://grupocompunet.sharepoint.com/sites/ProyectosCES/Shared Documents/CES/General CES/4.Administración de riesgos Operacionales/"/>
    </mc:Choice>
  </mc:AlternateContent>
  <xr:revisionPtr revIDLastSave="0" documentId="8_{6838C072-DA0D-4B25-A659-EB8113785CF1}" xr6:coauthVersionLast="47" xr6:coauthVersionMax="47" xr10:uidLastSave="{00000000-0000-0000-0000-000000000000}"/>
  <bookViews>
    <workbookView xWindow="28680" yWindow="-120" windowWidth="19440" windowHeight="14880" tabRatio="781" xr2:uid="{00000000-000D-0000-FFFF-FFFF00000000}"/>
  </bookViews>
  <sheets>
    <sheet name="F.RI.001" sheetId="11" r:id="rId1"/>
    <sheet name="MAPA DE RIESGOS" sheetId="9" r:id="rId2"/>
    <sheet name="CONTROLES" sheetId="8" r:id="rId3"/>
    <sheet name="ESCALAS" sheetId="6" r:id="rId4"/>
    <sheet name="PARAMETROS" sheetId="10" r:id="rId5"/>
  </sheets>
  <externalReferences>
    <externalReference r:id="rId6"/>
    <externalReference r:id="rId7"/>
  </externalReferences>
  <definedNames>
    <definedName name="_xlnm._FilterDatabase" localSheetId="0" hidden="1">'F.RI.001'!$A$6:$AX$15</definedName>
    <definedName name="ACCION" localSheetId="0">#REF!</definedName>
    <definedName name="ACCION">#REF!</definedName>
    <definedName name="AdministracionRiesgos" localSheetId="0">#REF!</definedName>
    <definedName name="AdministracionRiesgos">#REF!</definedName>
    <definedName name="_xlnm.Print_Area" localSheetId="0">'F.RI.001'!$B$4:$K$15</definedName>
    <definedName name="ArquitecturaSoluciones" localSheetId="0">#REF!</definedName>
    <definedName name="ArquitecturaSoluciones">#REF!</definedName>
    <definedName name="Cambio">[1]Hoja2!$E$2:$E$4</definedName>
    <definedName name="Cumplimiento" localSheetId="0">#REF!</definedName>
    <definedName name="Cumplimiento">#REF!</definedName>
    <definedName name="Estado">[1]Hoja2!$C$2:$C$7</definedName>
    <definedName name="Frecuencia" localSheetId="0">#REF!</definedName>
    <definedName name="Frecuencia">#REF!</definedName>
    <definedName name="IMPACTO" localSheetId="0">#REF!</definedName>
    <definedName name="IMPACTO">#REF!</definedName>
    <definedName name="Lista" localSheetId="0">#REF!</definedName>
    <definedName name="Lista">#REF!</definedName>
    <definedName name="ListaNivel1" localSheetId="0">#REF!</definedName>
    <definedName name="ListaNivel1">#REF!</definedName>
    <definedName name="Marketing" localSheetId="0">#REF!</definedName>
    <definedName name="Marketing">#REF!</definedName>
    <definedName name="NIVEL_RIESGO" localSheetId="0">#REF!</definedName>
    <definedName name="NIVEL_RIESGO">#REF!</definedName>
    <definedName name="Nivel1" localSheetId="0">#REF!</definedName>
    <definedName name="Nivel1">#REF!</definedName>
    <definedName name="PROBABILIDAD" localSheetId="0">#REF!</definedName>
    <definedName name="PROBABILIDAD">#REF!</definedName>
    <definedName name="SUBPROCESO">[2]Párametros!#REF!</definedName>
    <definedName name="VALOR_ACTIVO" localSheetId="0">#REF!</definedName>
    <definedName name="VALOR_ACTIVO">#REF!</definedName>
    <definedName name="Ventas" localSheetId="0">#REF!</definedName>
    <definedName name="Venta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6" i="11" l="1"/>
  <c r="U46" i="11"/>
  <c r="W46" i="11"/>
  <c r="X46" i="11" s="1"/>
  <c r="AC46" i="11"/>
  <c r="AE46" i="11"/>
  <c r="AG46" i="11"/>
  <c r="AI46" i="11"/>
  <c r="AL46" i="11"/>
  <c r="AM46" i="11"/>
  <c r="AC47" i="11"/>
  <c r="AE47" i="11"/>
  <c r="AG47" i="11"/>
  <c r="AI47" i="11"/>
  <c r="AL47" i="11"/>
  <c r="AM47" i="11"/>
  <c r="AC48" i="11"/>
  <c r="AE48" i="11"/>
  <c r="AM48" i="11" s="1"/>
  <c r="AG48" i="11"/>
  <c r="AI48" i="11"/>
  <c r="AL48" i="11"/>
  <c r="U49" i="11"/>
  <c r="W49" i="11"/>
  <c r="X49" i="11" s="1"/>
  <c r="AC49" i="11"/>
  <c r="AM49" i="11" s="1"/>
  <c r="AE49" i="11"/>
  <c r="AG49" i="11"/>
  <c r="AI49" i="11"/>
  <c r="AL49" i="11"/>
  <c r="AC50" i="11"/>
  <c r="AM50" i="11" s="1"/>
  <c r="AE50" i="11"/>
  <c r="AG50" i="11"/>
  <c r="AI50" i="11"/>
  <c r="AL50" i="11"/>
  <c r="AC51" i="11"/>
  <c r="AM51" i="11" s="1"/>
  <c r="AE51" i="11"/>
  <c r="AG51" i="11"/>
  <c r="AI51" i="11"/>
  <c r="AL51" i="11"/>
  <c r="U52" i="11"/>
  <c r="W52" i="11"/>
  <c r="X52" i="11"/>
  <c r="AC52" i="11"/>
  <c r="AM52" i="11" s="1"/>
  <c r="AE52" i="11"/>
  <c r="AG52" i="11"/>
  <c r="AI52" i="11"/>
  <c r="AL52" i="11"/>
  <c r="AC53" i="11"/>
  <c r="AE53" i="11"/>
  <c r="AG53" i="11"/>
  <c r="AI53" i="11"/>
  <c r="AL53" i="11"/>
  <c r="AM53" i="11"/>
  <c r="AC54" i="11"/>
  <c r="AE54" i="11"/>
  <c r="AG54" i="11"/>
  <c r="AI54" i="11"/>
  <c r="AM54" i="11" s="1"/>
  <c r="AL54" i="11"/>
  <c r="U55" i="11"/>
  <c r="W55" i="11"/>
  <c r="X55" i="11" s="1"/>
  <c r="AC55" i="11"/>
  <c r="AE55" i="11"/>
  <c r="AG55" i="11"/>
  <c r="AI55" i="11"/>
  <c r="AL55" i="11"/>
  <c r="AM55" i="11"/>
  <c r="AC56" i="11"/>
  <c r="AM56" i="11" s="1"/>
  <c r="AE56" i="11"/>
  <c r="AG56" i="11"/>
  <c r="AI56" i="11"/>
  <c r="AL56" i="11"/>
  <c r="AC57" i="11"/>
  <c r="AM57" i="11" s="1"/>
  <c r="AE57" i="11"/>
  <c r="AG57" i="11"/>
  <c r="AI57" i="11"/>
  <c r="AL57" i="11"/>
  <c r="U58" i="11"/>
  <c r="W58" i="11"/>
  <c r="X58" i="11" s="1"/>
  <c r="AC58" i="11"/>
  <c r="AM58" i="11" s="1"/>
  <c r="AE58" i="11"/>
  <c r="AG58" i="11"/>
  <c r="AI58" i="11"/>
  <c r="AL58" i="11"/>
  <c r="AC59" i="11"/>
  <c r="AM59" i="11" s="1"/>
  <c r="AE59" i="11"/>
  <c r="AG59" i="11"/>
  <c r="AI59" i="11"/>
  <c r="AL59" i="11"/>
  <c r="AC60" i="11"/>
  <c r="AE60" i="11"/>
  <c r="AG60" i="11"/>
  <c r="AI60" i="11"/>
  <c r="AL60" i="11"/>
  <c r="AM60" i="11"/>
  <c r="U34" i="11"/>
  <c r="W34" i="11"/>
  <c r="X34" i="11" s="1"/>
  <c r="AC34" i="11"/>
  <c r="AM34" i="11" s="1"/>
  <c r="AE34" i="11"/>
  <c r="AG34" i="11"/>
  <c r="AI34" i="11"/>
  <c r="AL34" i="11"/>
  <c r="AC35" i="11"/>
  <c r="AM35" i="11" s="1"/>
  <c r="AE35" i="11"/>
  <c r="AG35" i="11"/>
  <c r="AI35" i="11"/>
  <c r="AL35" i="11"/>
  <c r="AC36" i="11"/>
  <c r="AM36" i="11" s="1"/>
  <c r="AE36" i="11"/>
  <c r="AG36" i="11"/>
  <c r="AI36" i="11"/>
  <c r="AL36" i="11"/>
  <c r="U37" i="11"/>
  <c r="W37" i="11"/>
  <c r="X37" i="11"/>
  <c r="AC37" i="11"/>
  <c r="AM37" i="11" s="1"/>
  <c r="AE37" i="11"/>
  <c r="AG37" i="11"/>
  <c r="AI37" i="11"/>
  <c r="AL37" i="11"/>
  <c r="AC38" i="11"/>
  <c r="AE38" i="11"/>
  <c r="AG38" i="11"/>
  <c r="AI38" i="11"/>
  <c r="AL38" i="11"/>
  <c r="AM38" i="11"/>
  <c r="AC39" i="11"/>
  <c r="AE39" i="11"/>
  <c r="AG39" i="11"/>
  <c r="AI39" i="11"/>
  <c r="AL39" i="11"/>
  <c r="AM39" i="11"/>
  <c r="U40" i="11"/>
  <c r="W40" i="11"/>
  <c r="X40" i="11" s="1"/>
  <c r="AC40" i="11"/>
  <c r="AE40" i="11"/>
  <c r="AG40" i="11"/>
  <c r="AM40" i="11" s="1"/>
  <c r="AI40" i="11"/>
  <c r="AL40" i="11"/>
  <c r="AC41" i="11"/>
  <c r="AM41" i="11" s="1"/>
  <c r="AE41" i="11"/>
  <c r="AG41" i="11"/>
  <c r="AI41" i="11"/>
  <c r="AL41" i="11"/>
  <c r="AC42" i="11"/>
  <c r="AM42" i="11" s="1"/>
  <c r="AE42" i="11"/>
  <c r="AG42" i="11"/>
  <c r="AI42" i="11"/>
  <c r="AL42" i="11"/>
  <c r="U43" i="11"/>
  <c r="W43" i="11"/>
  <c r="X43" i="11"/>
  <c r="AC43" i="11"/>
  <c r="AE43" i="11"/>
  <c r="AM43" i="11" s="1"/>
  <c r="AG43" i="11"/>
  <c r="AI43" i="11"/>
  <c r="AL43" i="11"/>
  <c r="AC44" i="11"/>
  <c r="AM44" i="11" s="1"/>
  <c r="AE44" i="11"/>
  <c r="AG44" i="11"/>
  <c r="AI44" i="11"/>
  <c r="AL44" i="11"/>
  <c r="AC45" i="11"/>
  <c r="AE45" i="11"/>
  <c r="AG45" i="11"/>
  <c r="AI45" i="11"/>
  <c r="AL45" i="11"/>
  <c r="AM45" i="11"/>
  <c r="U31" i="11"/>
  <c r="W31" i="11"/>
  <c r="X31" i="11" s="1"/>
  <c r="AC31" i="11"/>
  <c r="AE31" i="11"/>
  <c r="AG31" i="11"/>
  <c r="AM31" i="11" s="1"/>
  <c r="AI31" i="11"/>
  <c r="AL31" i="11"/>
  <c r="AC32" i="11"/>
  <c r="AE32" i="11"/>
  <c r="AG32" i="11"/>
  <c r="AI32" i="11"/>
  <c r="AL32" i="11"/>
  <c r="AM32" i="11"/>
  <c r="AC33" i="11"/>
  <c r="AM33" i="11" s="1"/>
  <c r="AE33" i="11"/>
  <c r="AG33" i="11"/>
  <c r="AI33" i="11"/>
  <c r="AL33" i="11"/>
  <c r="U28" i="11"/>
  <c r="W28" i="11"/>
  <c r="X28" i="11" s="1"/>
  <c r="AC28" i="11"/>
  <c r="AM28" i="11" s="1"/>
  <c r="AE28" i="11"/>
  <c r="AG28" i="11"/>
  <c r="AI28" i="11"/>
  <c r="AL28" i="11"/>
  <c r="AC29" i="11"/>
  <c r="AM29" i="11" s="1"/>
  <c r="AE29" i="11"/>
  <c r="AG29" i="11"/>
  <c r="AI29" i="11"/>
  <c r="AL29" i="11"/>
  <c r="AC30" i="11"/>
  <c r="AM30" i="11" s="1"/>
  <c r="AE30" i="11"/>
  <c r="AG30" i="11"/>
  <c r="AI30" i="11"/>
  <c r="AL30" i="11"/>
  <c r="AC10" i="11"/>
  <c r="AL11" i="11" l="1"/>
  <c r="AL10" i="11"/>
  <c r="AI10" i="11"/>
  <c r="AI11" i="11"/>
  <c r="AG10" i="11"/>
  <c r="AM10" i="11" s="1"/>
  <c r="AG11" i="11"/>
  <c r="AE10" i="11"/>
  <c r="AE11" i="11"/>
  <c r="AC11" i="11"/>
  <c r="AC12" i="11"/>
  <c r="X16" i="11"/>
  <c r="W16" i="11"/>
  <c r="U16" i="11"/>
  <c r="AC15" i="11"/>
  <c r="AC14" i="11"/>
  <c r="AE14" i="11"/>
  <c r="AE15" i="11"/>
  <c r="AG14" i="11"/>
  <c r="AG15" i="11"/>
  <c r="AI14" i="11"/>
  <c r="AI15" i="11"/>
  <c r="AL14" i="11"/>
  <c r="AL15" i="11"/>
  <c r="AL17" i="11"/>
  <c r="AL18" i="11"/>
  <c r="AL19" i="11"/>
  <c r="AL20" i="11"/>
  <c r="AL21" i="11"/>
  <c r="AL22" i="11"/>
  <c r="AL23" i="11"/>
  <c r="AL24" i="11"/>
  <c r="AL25" i="11"/>
  <c r="AL26" i="11"/>
  <c r="AL27" i="11"/>
  <c r="AI17" i="11"/>
  <c r="AI18" i="11"/>
  <c r="AI19" i="11"/>
  <c r="AI20" i="11"/>
  <c r="AI21" i="11"/>
  <c r="AI22" i="11"/>
  <c r="AI23" i="11"/>
  <c r="AI24" i="11"/>
  <c r="AI25" i="11"/>
  <c r="AI26" i="11"/>
  <c r="AI27" i="11"/>
  <c r="AG17" i="11"/>
  <c r="AG18" i="11"/>
  <c r="AG19" i="11"/>
  <c r="AG20" i="11"/>
  <c r="AG21" i="11"/>
  <c r="AG22" i="11"/>
  <c r="AG23" i="11"/>
  <c r="AG24" i="11"/>
  <c r="AG25" i="11"/>
  <c r="AG26" i="11"/>
  <c r="AG27" i="11"/>
  <c r="AE26" i="11"/>
  <c r="AE27" i="11"/>
  <c r="AE23" i="11"/>
  <c r="AE24" i="11"/>
  <c r="AE20" i="11"/>
  <c r="AE21" i="11"/>
  <c r="AE17" i="11"/>
  <c r="AE18" i="11"/>
  <c r="AC17" i="11"/>
  <c r="AC18" i="11"/>
  <c r="AM18" i="11" s="1"/>
  <c r="AC19" i="11"/>
  <c r="AC20" i="11"/>
  <c r="AC21" i="11"/>
  <c r="AC22" i="11"/>
  <c r="AC23" i="11"/>
  <c r="AM23" i="11" s="1"/>
  <c r="AC24" i="11"/>
  <c r="AM24" i="11" s="1"/>
  <c r="AC25" i="11"/>
  <c r="AC26" i="11"/>
  <c r="AM26" i="11" s="1"/>
  <c r="AC27" i="11"/>
  <c r="AC16" i="11"/>
  <c r="U22" i="11"/>
  <c r="W22" i="11"/>
  <c r="X22" i="11" s="1"/>
  <c r="AE22" i="11"/>
  <c r="U25" i="11"/>
  <c r="W25" i="11"/>
  <c r="X25" i="11"/>
  <c r="AE25" i="11"/>
  <c r="U19" i="11"/>
  <c r="W19" i="11"/>
  <c r="X19" i="11"/>
  <c r="AE19" i="11"/>
  <c r="AE16" i="11"/>
  <c r="AG16" i="11"/>
  <c r="AI16" i="11"/>
  <c r="AL16" i="11"/>
  <c r="AM11" i="11" l="1"/>
  <c r="AM22" i="11"/>
  <c r="AM25" i="11"/>
  <c r="AM21" i="11"/>
  <c r="AM17" i="11"/>
  <c r="AM20" i="11"/>
  <c r="AM27" i="11"/>
  <c r="AM15" i="11"/>
  <c r="AM14" i="11"/>
  <c r="AM19" i="11"/>
  <c r="AR16" i="11"/>
  <c r="AL12" i="11"/>
  <c r="AI12" i="11"/>
  <c r="AG12" i="11"/>
  <c r="AE12" i="11"/>
  <c r="W10" i="11"/>
  <c r="AL13" i="11"/>
  <c r="AI13" i="11"/>
  <c r="AG13" i="11"/>
  <c r="AR13" i="11" s="1"/>
  <c r="AE13" i="11"/>
  <c r="AC13" i="11"/>
  <c r="U13" i="11"/>
  <c r="U10" i="11"/>
  <c r="AR10" i="11" l="1"/>
  <c r="AT16" i="11"/>
  <c r="X10" i="11"/>
  <c r="AM13" i="11"/>
  <c r="AM12" i="11"/>
  <c r="AT10" i="11" l="1"/>
  <c r="W13" i="11"/>
  <c r="X13" i="11" s="1"/>
  <c r="AT13" i="11" s="1"/>
  <c r="AT7" i="11"/>
  <c r="U7" i="11" l="1"/>
  <c r="W7" i="11"/>
  <c r="AC7" i="11"/>
  <c r="AE7" i="11"/>
  <c r="AG7" i="11"/>
  <c r="AI7" i="11"/>
  <c r="AL7" i="11"/>
  <c r="AC8" i="11"/>
  <c r="AE8" i="11"/>
  <c r="AG8" i="11"/>
  <c r="AI8" i="11"/>
  <c r="AL8" i="11"/>
  <c r="AC9" i="11"/>
  <c r="AE9" i="11"/>
  <c r="AG9" i="11"/>
  <c r="AI9" i="11"/>
  <c r="AL9" i="11"/>
  <c r="AM8" i="11" l="1"/>
  <c r="AM7" i="11"/>
  <c r="AR7" i="11"/>
  <c r="X7" i="11"/>
  <c r="AM9" i="11"/>
  <c r="M2" i="6"/>
  <c r="L2" i="6"/>
  <c r="K2" i="6"/>
  <c r="J2" i="6"/>
  <c r="I2" i="6"/>
  <c r="M3" i="6"/>
  <c r="L3" i="6"/>
  <c r="K3" i="6"/>
  <c r="J3" i="6"/>
  <c r="I3" i="6"/>
  <c r="M4" i="6"/>
  <c r="L4" i="6"/>
  <c r="K4" i="6"/>
  <c r="J4" i="6"/>
  <c r="I4" i="6"/>
  <c r="M5" i="6"/>
  <c r="L5" i="6"/>
  <c r="K5" i="6"/>
  <c r="J5" i="6"/>
  <c r="I5" i="6"/>
  <c r="M6" i="6"/>
  <c r="L6" i="6"/>
  <c r="K6" i="6"/>
  <c r="J6" i="6"/>
  <c r="I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Patricia Parra Prieto</author>
    <author xml:space="preserve">Ana Yulieth Chavez </author>
  </authors>
  <commentList>
    <comment ref="B5" authorId="0" shapeId="0" xr:uid="{D950E4BF-154A-448C-8824-78A05794454B}">
      <text>
        <r>
          <rPr>
            <sz val="9"/>
            <color indexed="81"/>
            <rFont val="Tahoma"/>
            <family val="2"/>
          </rPr>
          <t>R-XX-XXX
Riesgo-Sigla del proceso- consecutivo de acuerdo al proceso</t>
        </r>
      </text>
    </comment>
    <comment ref="L5" authorId="1" shapeId="0" xr:uid="{345C7BA0-43B9-4386-A50C-FBA4D11433EA}">
      <text>
        <r>
          <rPr>
            <sz val="9"/>
            <color indexed="81"/>
            <rFont val="Tahoma"/>
            <family val="2"/>
          </rPr>
          <t>Ver "M.PE.002 Plan Estratégico Corporativo" en el proceso Planeación Estratégica</t>
        </r>
      </text>
    </comment>
    <comment ref="R5" authorId="0" shapeId="0" xr:uid="{3C272943-750B-4FD6-9D8A-E863C51CA7CD}">
      <text>
        <r>
          <rPr>
            <sz val="9"/>
            <color indexed="81"/>
            <rFont val="Tahoma"/>
            <family val="2"/>
          </rPr>
          <t>¿Qué ocurre si se materializa el riesgo? Describir la peor consecuencia posible</t>
        </r>
      </text>
    </comment>
    <comment ref="Y6" authorId="0" shapeId="0" xr:uid="{D22C4ABD-4E08-4373-9BF9-7CA5251463B5}">
      <text>
        <r>
          <rPr>
            <sz val="9"/>
            <color indexed="81"/>
            <rFont val="Tahoma"/>
            <family val="2"/>
          </rPr>
          <t>Se debe identificar el valor resultante y de acuerdo con eso seleccionar el Nivel de Riesgo Inherente (Ver pestaña "Escalas"</t>
        </r>
      </text>
    </comment>
    <comment ref="AT6" authorId="0" shapeId="0" xr:uid="{23A98C44-30F3-4348-B633-0D1139E64116}">
      <text>
        <r>
          <rPr>
            <sz val="9"/>
            <color indexed="81"/>
            <rFont val="Tahoma"/>
            <family val="2"/>
          </rPr>
          <t>Comparar con el Riesgo Inherente en el Impacto</t>
        </r>
      </text>
    </comment>
  </commentList>
</comments>
</file>

<file path=xl/sharedStrings.xml><?xml version="1.0" encoding="utf-8"?>
<sst xmlns="http://schemas.openxmlformats.org/spreadsheetml/2006/main" count="397" uniqueCount="264">
  <si>
    <t>MATRIZ DE RIESGOS OPERACIONALES</t>
  </si>
  <si>
    <t>IDENTIFICACIÓN Y CONTEXTO ESTRATÉGICO DEL RIESGO</t>
  </si>
  <si>
    <t>ANÁLISIS DEL RIESGO (INHERENTE)</t>
  </si>
  <si>
    <t>TRATAMIENTO DEL RIESGO
Tratamiento (Riesgo Tratado)</t>
  </si>
  <si>
    <t xml:space="preserve">ID Riesgo </t>
  </si>
  <si>
    <t>Fecha de Identificación</t>
  </si>
  <si>
    <t>Fecha de Actualización y/o Revisión</t>
  </si>
  <si>
    <t>Proceso Nivel 1</t>
  </si>
  <si>
    <t>Proceso Nivel 2</t>
  </si>
  <si>
    <t>Información Documentada Asociada</t>
  </si>
  <si>
    <t>Dueño del Proceso</t>
  </si>
  <si>
    <t>Dueño del Riesgo</t>
  </si>
  <si>
    <t>Descripción del Riesgo</t>
  </si>
  <si>
    <t>Contexto Organizacional</t>
  </si>
  <si>
    <t>Componente DOFA Asociado al Contexto de la Organización</t>
  </si>
  <si>
    <t>Parte Interesada Afectada</t>
  </si>
  <si>
    <t>Causa</t>
  </si>
  <si>
    <t>Posible Consecuencia</t>
  </si>
  <si>
    <t>IMPACTO</t>
  </si>
  <si>
    <t>PROBABILIDAD</t>
  </si>
  <si>
    <t>NIVEL DEL RIESGO</t>
  </si>
  <si>
    <t>CONTROLES</t>
  </si>
  <si>
    <t>EVALUACIÓN DE LOS CONTROLES</t>
  </si>
  <si>
    <t>RIESGO RESIDUAL</t>
  </si>
  <si>
    <t>Tratamiento a Aplicar</t>
  </si>
  <si>
    <t>Justificación del Tratamiento a Aplicar</t>
  </si>
  <si>
    <t>¿Requiere Plan de Mitigación Adicional?</t>
  </si>
  <si>
    <t>Código Acción Plan de Tratamiento</t>
  </si>
  <si>
    <t>¿Qué los causa?</t>
  </si>
  <si>
    <t>¿Por qué y cómo puede surgir?</t>
  </si>
  <si>
    <t>¿Quién los causa?</t>
  </si>
  <si>
    <t>Tipo</t>
  </si>
  <si>
    <t>Calificación</t>
  </si>
  <si>
    <t>Valor</t>
  </si>
  <si>
    <t>Valoración de Probabilidad</t>
  </si>
  <si>
    <t>Severidad
 (Ver Escalas)</t>
  </si>
  <si>
    <t>Descripción del Control</t>
  </si>
  <si>
    <t>Responsable</t>
  </si>
  <si>
    <t>Tipo de Control</t>
  </si>
  <si>
    <t>% Otorgado</t>
  </si>
  <si>
    <t>Ejecución del Control</t>
  </si>
  <si>
    <t>Origen del Control</t>
  </si>
  <si>
    <t>¿Esta Documentado?</t>
  </si>
  <si>
    <t>Nombre del Documento</t>
  </si>
  <si>
    <t>Frecuencia del Control</t>
  </si>
  <si>
    <t>Efectividad del Control</t>
  </si>
  <si>
    <t>Fecha Evaluación Control</t>
  </si>
  <si>
    <t>¿Reduce Impacto o Probabilidad?</t>
  </si>
  <si>
    <t>% de Eficacia Asignado</t>
  </si>
  <si>
    <t>Evidencia</t>
  </si>
  <si>
    <t>% de Mitigación</t>
  </si>
  <si>
    <t>Nivel de Riesgo</t>
  </si>
  <si>
    <t>Severidad Después de Controles</t>
  </si>
  <si>
    <t xml:space="preserve">  </t>
  </si>
  <si>
    <t>CES-001</t>
  </si>
  <si>
    <t>Preventivo</t>
  </si>
  <si>
    <t>Manual</t>
  </si>
  <si>
    <t>Obligatorio</t>
  </si>
  <si>
    <t>NO</t>
  </si>
  <si>
    <t>Interrupción de Servicios en la Nube</t>
  </si>
  <si>
    <t>Mensual</t>
  </si>
  <si>
    <t>Impacto y Probabilidad</t>
  </si>
  <si>
    <t>si</t>
  </si>
  <si>
    <t>R-CES-001</t>
  </si>
  <si>
    <t>Procesos Misionales</t>
  </si>
  <si>
    <t>N/A</t>
  </si>
  <si>
    <t xml:space="preserve">*M.OS.402.005_Manual_de_Gestión_de_Servicios_TI_.pdf
</t>
  </si>
  <si>
    <t>Gerente de Operaciones CES</t>
  </si>
  <si>
    <t>Coordinador de Servicios CES</t>
  </si>
  <si>
    <t>Fallos en la plataforma o servicios crítico que soportan la operación 24/7, afectando servicios internos y externos.</t>
  </si>
  <si>
    <t>Interno / Externo</t>
  </si>
  <si>
    <t xml:space="preserve">                                                                                                                                                                                                                                                                                                                               *Debilidades (Interno) *Oportunidades (Externo)</t>
  </si>
  <si>
    <t xml:space="preserve">                                                                                                                                                                                              *Disponibilidad de herramientas para la optimización y automatización de los procesos en la operación de TI.                                                                                                                                                                                                                                                                                                                                       *Adoptar nuevas maneras de hacer las cosas en alineación con las nuevas tecnologías del conocimiento.</t>
  </si>
  <si>
    <t>Trabajadores / Clientes</t>
  </si>
  <si>
    <t>Fallos técnicos, configuraciones incorrectas, falta de mantenimiento preventivo, obsolencencia de harware y software</t>
  </si>
  <si>
    <t xml:space="preserve">Actualizaciones de sistema operativo, actualizaciones de aplicaciòn  , fallos de potencias electricos y fallas de comunicaciòn.
                         </t>
  </si>
  <si>
    <t>Gerente de Operaciones CES,Coordinador de Servicios CES, especialistas CES y analistas CES.</t>
  </si>
  <si>
    <t>Indisponibilidad del servicio a los clientes</t>
  </si>
  <si>
    <t>Operativo</t>
  </si>
  <si>
    <t>Mayor</t>
  </si>
  <si>
    <t>Muy baja</t>
  </si>
  <si>
    <t>Moderado</t>
  </si>
  <si>
    <t>Entrega de los informes de gestión del periodo inmediatamente anterior durante los primeros días de cada 
mes.</t>
  </si>
  <si>
    <t>Coordinador Control 
Interno Servicios TI</t>
  </si>
  <si>
    <t>SI</t>
  </si>
  <si>
    <t>Informes de 
Gestión en la ruta: \\cncd\Privada\Info Gestion Correos de 
entrega de los informes a cada 
cliente.</t>
  </si>
  <si>
    <t>Alto</t>
  </si>
  <si>
    <t>Envío automatizado de correo electrónico al cliente, programado para los primeros días de cada mes, adjuntando los informes correspondientes.</t>
  </si>
  <si>
    <t>Coordinador de proyectos CES</t>
  </si>
  <si>
    <t>Semi Automática</t>
  </si>
  <si>
    <t>Voluntario</t>
  </si>
  <si>
    <t>Reuniones mensuales con los clientes para revisar y concluir las actividades del mes, adjuntando el acta de la reunión como evidencia.</t>
  </si>
  <si>
    <t>Coordinador CES</t>
  </si>
  <si>
    <t>Acta de reunión.</t>
  </si>
  <si>
    <t>R-CES-002</t>
  </si>
  <si>
    <t xml:space="preserve">N/A
</t>
  </si>
  <si>
    <t xml:space="preserve">*M.OS.401.007_Manual de Operación del Servicio.pdf               *M.AM.400.003_Manual de Disponibilidad.pdf                       </t>
  </si>
  <si>
    <t>Fallas en los procesos de cumplimiento de los Acuerdos de Niveles de Servicio (ANS) en el área CES, manifestadas en demoras o incumplimientos en los tiempos de respuesta, resolución o calidad del servicio acordados contractualmente con los clientes.</t>
  </si>
  <si>
    <r>
      <t xml:space="preserve">*Fortalezas(Interno) *Oportunidades (Externo) </t>
    </r>
    <r>
      <rPr>
        <sz val="10"/>
        <color rgb="FFFF0000"/>
        <rFont val="Arial"/>
        <family val="2"/>
      </rPr>
      <t xml:space="preserve"> </t>
    </r>
    <r>
      <rPr>
        <sz val="10"/>
        <rFont val="Arial"/>
        <family val="2"/>
      </rPr>
      <t xml:space="preserve">                                                                                                                                                                                                                                                                                                                                   </t>
    </r>
  </si>
  <si>
    <t>*Reconocimiento de Compunet como socio estratégico y líder en servicios de administración de tecnología SAP y soluciones integrales de TI.                        * Oportunidades de expansión en los mercados de Latinoamérica.</t>
  </si>
  <si>
    <t xml:space="preserve">Clientes </t>
  </si>
  <si>
    <t>*Registro incompleto o incorrecto de tickets en la herramienta de gestión (SAP Solution Manager).
*Demoras en el escalamiento de solicitudes a los niveles adecuados de soporte.
*Configuración inadecuada o desactualización de los Acuerdos de Niveles de Servicio (ANS) en los sistemas de gestión.</t>
  </si>
  <si>
    <t xml:space="preserve"> *Procesos manuales o falta de controles automatizados para validar la información ingresada.                                   *Descoordinación entre los equipos responsables de la configuración y la operación del servicio.</t>
  </si>
  <si>
    <t xml:space="preserve">                                                                                                                                                                                                                                                                                                      *Incumplimiento de los tiempos establecidos en los contratos.
*Penalizaciones contractuales, afectando financieramente a la empresa.
*Pérdida de confianza por parte de los clientes.
*Deterioro de la reputación empresarial, impactando en la competitividad y nuevas oportunidades.</t>
  </si>
  <si>
    <t>baja</t>
  </si>
  <si>
    <t>alto</t>
  </si>
  <si>
    <t>Medición de los siguientes indicadores asociados a la atención del servicio:* Disponibilidad 
del Servicio CES</t>
  </si>
  <si>
    <t>Correctivo</t>
  </si>
  <si>
    <t xml:space="preserve">*M.AM.400.003_Manual de Disponibilidad.pdf       </t>
  </si>
  <si>
    <t xml:space="preserve">Envío automatizado al cliente durante los primeros días del mes, informando el cumplimiento del indicador de disponibilidad.
</t>
  </si>
  <si>
    <t>NA</t>
  </si>
  <si>
    <t>Reuniones mensuales con los clientes para revisar el indicador de disponibilidad y garantizar su cumplimiento.</t>
  </si>
  <si>
    <t>ALTO</t>
  </si>
  <si>
    <r>
      <t xml:space="preserve">MAPA DE RIESGOS OPERACIONALES
</t>
    </r>
    <r>
      <rPr>
        <b/>
        <u/>
        <sz val="12"/>
        <color rgb="FFFF0000"/>
        <rFont val="Arial"/>
        <family val="2"/>
      </rPr>
      <t>RIESGO INHERENTE</t>
    </r>
  </si>
  <si>
    <r>
      <t xml:space="preserve">MAPA DE RIESGOS OPERACIONALES
</t>
    </r>
    <r>
      <rPr>
        <b/>
        <u/>
        <sz val="12"/>
        <color rgb="FF92D050"/>
        <rFont val="Arial"/>
        <family val="2"/>
      </rPr>
      <t>RIESGO RESIDUAL</t>
    </r>
  </si>
  <si>
    <t>MUY PROBABLE</t>
  </si>
  <si>
    <t>PROBABLE</t>
  </si>
  <si>
    <t>MODERADA</t>
  </si>
  <si>
    <t>BAJA</t>
  </si>
  <si>
    <t>MUY BAJA</t>
  </si>
  <si>
    <t xml:space="preserve">R-XX-00X
</t>
  </si>
  <si>
    <t>R-XX-00X</t>
  </si>
  <si>
    <t>INSIGNIFICANTE</t>
  </si>
  <si>
    <t>MENOR</t>
  </si>
  <si>
    <t>MODERADO</t>
  </si>
  <si>
    <t xml:space="preserve">MAYOR </t>
  </si>
  <si>
    <t>CATASTROFICO</t>
  </si>
  <si>
    <t>TIPO DE CONTROL</t>
  </si>
  <si>
    <t>EJECUCIÓN</t>
  </si>
  <si>
    <t>ORIGEN</t>
  </si>
  <si>
    <t>Documentación del Control</t>
  </si>
  <si>
    <t>FRECUENCIA</t>
  </si>
  <si>
    <t xml:space="preserve">Se utiliza como barrera de seguridad para que el riesgo no se presente y/o se materialice. Este control actúa directamente sobre las causas generadoras del riesgo disminuyendo la probabilidad de ocurrencia del mismo. </t>
  </si>
  <si>
    <t>Automática</t>
  </si>
  <si>
    <t>Los controles automatizados son procedimientos programados que se encuentran diseñados para prevenir, detectar y corregir errores o irregularidades que pudieran tener un impacto. Los controles automáticos se enfocan desde los aspectos esenciales del procesamiento de los datos, desde la actividad de inicio hasta la actividad de generación de reportes o actividad final.</t>
  </si>
  <si>
    <t>Son aquellos que pueden estar representados por las leyes, normatividad y regulación, son impuestos a la empresa para que cumpla con sus actividades puntuales de negocio.</t>
  </si>
  <si>
    <t>El control se encuentra en algún documento del Sistema Integrado de Gestión. Se debe indicar el nombre y código del documento</t>
  </si>
  <si>
    <t>Por Evento o Diario</t>
  </si>
  <si>
    <t>El control se ejecuta cada vez que se presenta un evento asociado al riesgo  o diariamente</t>
  </si>
  <si>
    <t>Detectivo</t>
  </si>
  <si>
    <t>Es considerado como herramienta de alarma, que se activa cuándo identifica o detecta una situación poco común. En ocasiones estos controles pueden utilizarse para evaluar la eficacia de los controles preventivos.</t>
  </si>
  <si>
    <t xml:space="preserve">Para la aplicación automática del control debe existir una configuración manual de manera previa. </t>
  </si>
  <si>
    <t>Mandatorio</t>
  </si>
  <si>
    <t xml:space="preserve">Son aquellos que son directrices directas de la Alta Dirección o que se encuentran documentados en alguna política, manual o procedimiento de un proceso el cual el responsable del control no es Dueño </t>
  </si>
  <si>
    <t xml:space="preserve">El control NO encuentra en algún documento del Sistema Integrado de Gestión. </t>
  </si>
  <si>
    <t>El control se ejecuta cada mes</t>
  </si>
  <si>
    <t xml:space="preserve">Permite corregir las deficiencias que se pueden dar en un proceso y prevenir que estas se vuelvan a presentar. Este control se aplica posterior a la materialización del riesgo, y permite mejorar los demás controles implementados. </t>
  </si>
  <si>
    <t>Son las personas las directamente responsables de realizar o ejecutar la aplicación del control.</t>
  </si>
  <si>
    <t xml:space="preserve">Son elegidos por el Dueño del Proceso o el Dueño del Riesgo para apoyar las actividades propias cada proceso. </t>
  </si>
  <si>
    <t>Bimestral</t>
  </si>
  <si>
    <t>El control se ejecuta cada 3 meses</t>
  </si>
  <si>
    <t>Trimestral</t>
  </si>
  <si>
    <t>Semestral</t>
  </si>
  <si>
    <t>El control se ejecuta cada 6 meses</t>
  </si>
  <si>
    <t>Anual o Bianual</t>
  </si>
  <si>
    <t>El control se ejecuta 1 vez al año o cada 2 años</t>
  </si>
  <si>
    <t xml:space="preserve">Escala de Impacto </t>
  </si>
  <si>
    <t>NIVEL DE RIESGO - SEVERIDAD</t>
  </si>
  <si>
    <t>NIVEL DE RIESGO 
SEVERIDAD</t>
  </si>
  <si>
    <t>CALIFICACIÓN</t>
  </si>
  <si>
    <t>CATEGORÍA</t>
  </si>
  <si>
    <t>DESCRIPCIÓN</t>
  </si>
  <si>
    <t>TIPO</t>
  </si>
  <si>
    <t>Extremo</t>
  </si>
  <si>
    <t>FACTOR</t>
  </si>
  <si>
    <t>COMPONENTE DOFA</t>
  </si>
  <si>
    <t>TRATAMIENTO</t>
  </si>
  <si>
    <t>Catastrófico</t>
  </si>
  <si>
    <t>Si el hecho llegara a presentarse, tendría desastrosas consecuencias o efectos sobre la entidad.</t>
  </si>
  <si>
    <r>
      <rPr>
        <b/>
        <sz val="10"/>
        <rFont val="Arial"/>
        <family val="2"/>
      </rPr>
      <t>Legal:</t>
    </r>
    <r>
      <rPr>
        <sz val="10"/>
        <rFont val="Arial"/>
        <family val="2"/>
      </rPr>
      <t xml:space="preserve"> Los impactos generan sanciones legales, financieras, cierre de la Empresa.</t>
    </r>
  </si>
  <si>
    <t>Legal</t>
  </si>
  <si>
    <t>Muy Probable</t>
  </si>
  <si>
    <t xml:space="preserve">Interno </t>
  </si>
  <si>
    <t>Debilidades (Interno)</t>
  </si>
  <si>
    <t>Evitar</t>
  </si>
  <si>
    <r>
      <rPr>
        <b/>
        <sz val="10"/>
        <rFont val="Arial"/>
        <family val="2"/>
      </rPr>
      <t>Reputacional:</t>
    </r>
    <r>
      <rPr>
        <sz val="10"/>
        <rFont val="Arial"/>
        <family val="2"/>
      </rPr>
      <t xml:space="preserve"> Los impactos generan oposición general de los medios de comunicación y pérdida definitiva de clientes. </t>
    </r>
  </si>
  <si>
    <t>Reputacional</t>
  </si>
  <si>
    <t>Probable</t>
  </si>
  <si>
    <t>Externo</t>
  </si>
  <si>
    <t>Fortalezas (Interno)</t>
  </si>
  <si>
    <t>Aceptar</t>
  </si>
  <si>
    <r>
      <rPr>
        <b/>
        <sz val="10"/>
        <rFont val="Arial"/>
        <family val="2"/>
      </rPr>
      <t>Operativo:</t>
    </r>
    <r>
      <rPr>
        <sz val="10"/>
        <rFont val="Arial"/>
        <family val="2"/>
      </rPr>
      <t xml:space="preserve"> Impacto de paro total del proceso</t>
    </r>
  </si>
  <si>
    <t>Bajo</t>
  </si>
  <si>
    <t>Moderada</t>
  </si>
  <si>
    <t>Interno y Externo</t>
  </si>
  <si>
    <t>Oportunidades (Externo)</t>
  </si>
  <si>
    <t>Transferir</t>
  </si>
  <si>
    <r>
      <rPr>
        <b/>
        <sz val="10"/>
        <rFont val="Arial"/>
        <family val="2"/>
      </rPr>
      <t>Económico:</t>
    </r>
    <r>
      <rPr>
        <sz val="10"/>
        <rFont val="Arial"/>
        <family val="2"/>
      </rPr>
      <t xml:space="preserve"> Se reduce el patrimonio efectivo mayor &gt; 6%</t>
    </r>
  </si>
  <si>
    <t>Económico</t>
  </si>
  <si>
    <t>Menor</t>
  </si>
  <si>
    <t>Baja</t>
  </si>
  <si>
    <t>Amenazas (Externo)</t>
  </si>
  <si>
    <t>Reducir</t>
  </si>
  <si>
    <t>Si el hecho llegara a presentarse, tendría consecuencias o efectos sobre la Empresa</t>
  </si>
  <si>
    <r>
      <rPr>
        <b/>
        <sz val="10"/>
        <rFont val="Arial"/>
        <family val="2"/>
      </rPr>
      <t>Legal:</t>
    </r>
    <r>
      <rPr>
        <sz val="10"/>
        <rFont val="Arial"/>
        <family val="2"/>
      </rPr>
      <t xml:space="preserve"> Los impactos generan sanciones legales y financieras,.</t>
    </r>
  </si>
  <si>
    <t>Insignificante</t>
  </si>
  <si>
    <t>Muy Baja</t>
  </si>
  <si>
    <r>
      <rPr>
        <b/>
        <sz val="10"/>
        <rFont val="Arial"/>
        <family val="2"/>
      </rPr>
      <t>Reputacional:</t>
    </r>
    <r>
      <rPr>
        <sz val="10"/>
        <rFont val="Arial"/>
        <family val="2"/>
      </rPr>
      <t xml:space="preserve"> Los impactos generan oposición general de los medios de comunicación y pérdida considerable de clientes. </t>
    </r>
  </si>
  <si>
    <r>
      <rPr>
        <b/>
        <sz val="10"/>
        <rFont val="Arial"/>
        <family val="2"/>
      </rPr>
      <t>Operativo:</t>
    </r>
    <r>
      <rPr>
        <sz val="10"/>
        <rFont val="Arial"/>
        <family val="2"/>
      </rPr>
      <t xml:space="preserve"> Impacto en intermitencia del servicio.</t>
    </r>
  </si>
  <si>
    <r>
      <rPr>
        <b/>
        <sz val="10"/>
        <rFont val="Arial"/>
        <family val="2"/>
      </rPr>
      <t>Económico:</t>
    </r>
    <r>
      <rPr>
        <sz val="10"/>
        <rFont val="Arial"/>
        <family val="2"/>
      </rPr>
      <t xml:space="preserve"> Se reduce el patrimonio efectivo entre  3 - 6%</t>
    </r>
  </si>
  <si>
    <t>Si el hecho llegara a presentarse, tendría medianas consecuencias o efectos sobre la entidad</t>
  </si>
  <si>
    <r>
      <rPr>
        <b/>
        <sz val="10"/>
        <rFont val="Arial"/>
        <family val="2"/>
      </rPr>
      <t>Legal:</t>
    </r>
    <r>
      <rPr>
        <sz val="10"/>
        <rFont val="Arial"/>
        <family val="2"/>
      </rPr>
      <t xml:space="preserve"> Los impactos generan amonestaciones por entes de control.</t>
    </r>
  </si>
  <si>
    <r>
      <rPr>
        <b/>
        <sz val="10"/>
        <rFont val="Arial"/>
        <family val="2"/>
      </rPr>
      <t>Reputacional:</t>
    </r>
    <r>
      <rPr>
        <sz val="10"/>
        <rFont val="Arial"/>
        <family val="2"/>
      </rPr>
      <t xml:space="preserve"> Los impactos generan relativa atención de los medios locales de comunicación y/o pérdida temporal de clientes. </t>
    </r>
  </si>
  <si>
    <r>
      <rPr>
        <b/>
        <sz val="10"/>
        <rFont val="Arial"/>
        <family val="2"/>
      </rPr>
      <t>Operativo:</t>
    </r>
    <r>
      <rPr>
        <sz val="10"/>
        <rFont val="Arial"/>
        <family val="2"/>
      </rPr>
      <t xml:space="preserve"> Impacto en cambios en la interacción de los procesos.</t>
    </r>
  </si>
  <si>
    <r>
      <rPr>
        <b/>
        <sz val="10"/>
        <rFont val="Arial"/>
        <family val="2"/>
      </rPr>
      <t>Económico:</t>
    </r>
    <r>
      <rPr>
        <sz val="10"/>
        <rFont val="Arial"/>
        <family val="2"/>
      </rPr>
      <t xml:space="preserve"> Se reduce el patrimonio efectivo entre 0.30 - 3%</t>
    </r>
  </si>
  <si>
    <t>Si el hecho llegara a presentarse, tendría bajo impacto o efecto sobre la entidad</t>
  </si>
  <si>
    <r>
      <rPr>
        <b/>
        <sz val="10"/>
        <rFont val="Arial"/>
        <family val="2"/>
      </rPr>
      <t>Legal:</t>
    </r>
    <r>
      <rPr>
        <sz val="10"/>
        <rFont val="Arial"/>
        <family val="2"/>
      </rPr>
      <t xml:space="preserve"> Los impactos generan peticiones, quejas o reclamos.</t>
    </r>
  </si>
  <si>
    <r>
      <rPr>
        <b/>
        <sz val="10"/>
        <rFont val="Arial"/>
        <family val="2"/>
      </rPr>
      <t>Reputacional:</t>
    </r>
    <r>
      <rPr>
        <sz val="10"/>
        <rFont val="Arial"/>
        <family val="2"/>
      </rPr>
      <t xml:space="preserve"> Los impactos generan  circunstancias  que afectan procesos o servicios alteran los compromisos establecidos con los clientes.</t>
    </r>
  </si>
  <si>
    <r>
      <rPr>
        <b/>
        <sz val="10"/>
        <rFont val="Arial"/>
        <family val="2"/>
      </rPr>
      <t>Operativo:</t>
    </r>
    <r>
      <rPr>
        <sz val="10"/>
        <rFont val="Arial"/>
        <family val="2"/>
      </rPr>
      <t xml:space="preserve"> Impacto en cambios en procedimientos.</t>
    </r>
  </si>
  <si>
    <r>
      <rPr>
        <b/>
        <sz val="10"/>
        <rFont val="Arial"/>
        <family val="2"/>
      </rPr>
      <t>Económico:</t>
    </r>
    <r>
      <rPr>
        <sz val="10"/>
        <rFont val="Arial"/>
        <family val="2"/>
      </rPr>
      <t xml:space="preserve"> Se reduce el patrimonio efectivo entre  0.12 – 0.30%</t>
    </r>
  </si>
  <si>
    <r>
      <rPr>
        <b/>
        <sz val="10"/>
        <rFont val="Arial"/>
        <family val="2"/>
      </rPr>
      <t>Legal:</t>
    </r>
    <r>
      <rPr>
        <sz val="10"/>
        <rFont val="Arial"/>
        <family val="2"/>
      </rPr>
      <t xml:space="preserve"> Los impactos no generan proceso legales.</t>
    </r>
  </si>
  <si>
    <r>
      <rPr>
        <b/>
        <sz val="10"/>
        <rFont val="Arial"/>
        <family val="2"/>
      </rPr>
      <t>Reputacional:</t>
    </r>
    <r>
      <rPr>
        <sz val="10"/>
        <rFont val="Arial"/>
        <family val="2"/>
      </rPr>
      <t xml:space="preserve"> Los impactos son de conocimiento interno de la empresa pero no de interés público</t>
    </r>
  </si>
  <si>
    <r>
      <rPr>
        <b/>
        <sz val="10"/>
        <rFont val="Arial"/>
        <family val="2"/>
      </rPr>
      <t>Operativo:</t>
    </r>
    <r>
      <rPr>
        <sz val="10"/>
        <rFont val="Arial"/>
        <family val="2"/>
      </rPr>
      <t xml:space="preserve"> Impacto en ajustes a una actividad concreta.</t>
    </r>
  </si>
  <si>
    <r>
      <rPr>
        <b/>
        <sz val="10"/>
        <rFont val="Arial"/>
        <family val="2"/>
      </rPr>
      <t>Económico:</t>
    </r>
    <r>
      <rPr>
        <sz val="10"/>
        <rFont val="Arial"/>
        <family val="2"/>
      </rPr>
      <t xml:space="preserve"> Se reduce el patrimonio efectivo menos de 0.12%</t>
    </r>
  </si>
  <si>
    <t xml:space="preserve">Escala de Probabilidad </t>
  </si>
  <si>
    <t>ESCALA CUALITATIVA</t>
  </si>
  <si>
    <t>ESCALA CUANTITATIVA</t>
  </si>
  <si>
    <t>Se espera la ocurrencia del evento en la mayoría de las circunstancias.</t>
  </si>
  <si>
    <t>Se espera una ocurrencia mayor al 30% del total de los casos o de las posibilidades.</t>
  </si>
  <si>
    <t xml:space="preserve">El evento ocurrirá en casi cualquier circunstancia. </t>
  </si>
  <si>
    <t>Se espera una ocurrencia entre el 21 y el 30% del total de los casos o de las posibilidades.</t>
  </si>
  <si>
    <t xml:space="preserve">El evento ocurrirá en algún momento. </t>
  </si>
  <si>
    <t>Se espera una ocurrencia entre el 11 y el 20% del total de los casos o de las posibilidades.</t>
  </si>
  <si>
    <t>El evento puede materializarse esporádicamente.</t>
  </si>
  <si>
    <t>Se espera una ocurrencia entre el 5% y el 10% del total de los casos o de las posibilidades.</t>
  </si>
  <si>
    <t>El evento puede materializarse fortuitamente</t>
  </si>
  <si>
    <t xml:space="preserve">Se espera una ocurrencia menor al 5% del total de los casos o de las posibilidades. </t>
  </si>
  <si>
    <t>PROCESO NIVEL 1</t>
  </si>
  <si>
    <t>PROCESO NIVEL 2</t>
  </si>
  <si>
    <t>Planeación Estrategica</t>
  </si>
  <si>
    <t>Administración de Riesgos</t>
  </si>
  <si>
    <t>Operación del Servicio</t>
  </si>
  <si>
    <t>Comunicaciones</t>
  </si>
  <si>
    <t>Gestión del Cambio</t>
  </si>
  <si>
    <t>Mercadeo</t>
  </si>
  <si>
    <t>Gestión de la Configuración</t>
  </si>
  <si>
    <t>Ventas</t>
  </si>
  <si>
    <t>Gestión de la Entrega</t>
  </si>
  <si>
    <t>Arquitectura de Soluciones</t>
  </si>
  <si>
    <t>Gestión del Conocimiento</t>
  </si>
  <si>
    <t>Gestión de Proyectos</t>
  </si>
  <si>
    <t>Gestión de Seguridad de la Información</t>
  </si>
  <si>
    <t>Gestión de Servicios de TIC</t>
  </si>
  <si>
    <t>Gestión de la Continuidad de Servicios de TI</t>
  </si>
  <si>
    <t>Gestión Operativa y Soporte para la PE</t>
  </si>
  <si>
    <t>Gestión de la Continuidad del Negocio</t>
  </si>
  <si>
    <t>Gestión de Servicio al Cliente</t>
  </si>
  <si>
    <t>Gestión de la Disponibilidad</t>
  </si>
  <si>
    <t>Gestión Sistema Integrado</t>
  </si>
  <si>
    <t>Gestión de la Capacidad</t>
  </si>
  <si>
    <t>Gestión de Recursos Humanos</t>
  </si>
  <si>
    <t>Gestión de Requerimientos de Software</t>
  </si>
  <si>
    <t>Gestión de Logística y Compras</t>
  </si>
  <si>
    <t>Gestión de Activos</t>
  </si>
  <si>
    <t>Gestión Jurídica</t>
  </si>
  <si>
    <t>Protección de Datos Personales</t>
  </si>
  <si>
    <t>Gestión Financiera</t>
  </si>
  <si>
    <t>Gestión Documental</t>
  </si>
  <si>
    <t>Gestión Contable</t>
  </si>
  <si>
    <t>Diseño y Optimización de Procesos</t>
  </si>
  <si>
    <t>Auditoría Sistema Integrado de Gestión</t>
  </si>
  <si>
    <t>Reclutamiento y Selección</t>
  </si>
  <si>
    <t>Administración de Personal</t>
  </si>
  <si>
    <t>Desarrollo del 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</si>
</sst>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dd/mm/yyyy;@"/>
  </numFmts>
  <fonts count="26">
    <font>
      <sz val="10"/>
      <name val="Arial"/>
    </font>
    <font>
      <sz val="10"/>
      <name val="Arial"/>
      <family val="2"/>
    </font>
    <font>
      <b/>
      <sz val="10"/>
      <name val="Arial"/>
      <family val="2"/>
    </font>
    <font>
      <b/>
      <sz val="9"/>
      <name val="Arial"/>
      <family val="2"/>
    </font>
    <font>
      <sz val="9"/>
      <name val="Arial"/>
      <family val="2"/>
    </font>
    <font>
      <b/>
      <sz val="10"/>
      <color indexed="9"/>
      <name val="Arial"/>
      <family val="2"/>
    </font>
    <font>
      <sz val="10"/>
      <name val="Arial"/>
      <family val="2"/>
    </font>
    <font>
      <u/>
      <sz val="10"/>
      <color indexed="12"/>
      <name val="Arial"/>
      <family val="2"/>
    </font>
    <font>
      <b/>
      <sz val="12"/>
      <name val="Arial"/>
      <family val="2"/>
    </font>
    <font>
      <b/>
      <sz val="11"/>
      <name val="Arial"/>
      <family val="2"/>
    </font>
    <font>
      <sz val="11"/>
      <name val="Arial"/>
      <family val="2"/>
    </font>
    <font>
      <sz val="9"/>
      <color indexed="81"/>
      <name val="Tahoma"/>
      <family val="2"/>
    </font>
    <font>
      <b/>
      <sz val="24"/>
      <name val="Arial"/>
      <family val="2"/>
    </font>
    <font>
      <b/>
      <sz val="10"/>
      <color rgb="FF000000"/>
      <name val="Arial"/>
      <family val="2"/>
    </font>
    <font>
      <b/>
      <sz val="10"/>
      <color theme="0"/>
      <name val="Arial"/>
      <family val="2"/>
    </font>
    <font>
      <b/>
      <sz val="9"/>
      <color rgb="FF000000"/>
      <name val="Arial"/>
      <family val="2"/>
    </font>
    <font>
      <sz val="10"/>
      <color theme="1"/>
      <name val="Arial"/>
      <family val="2"/>
    </font>
    <font>
      <b/>
      <u/>
      <sz val="12"/>
      <color rgb="FFFF0000"/>
      <name val="Arial"/>
      <family val="2"/>
    </font>
    <font>
      <b/>
      <u/>
      <sz val="12"/>
      <color rgb="FF92D050"/>
      <name val="Arial"/>
      <family val="2"/>
    </font>
    <font>
      <sz val="12"/>
      <name val="Arial"/>
      <family val="2"/>
    </font>
    <font>
      <b/>
      <sz val="12"/>
      <color indexed="9"/>
      <name val="Arial"/>
      <family val="2"/>
    </font>
    <font>
      <b/>
      <sz val="12"/>
      <color theme="0"/>
      <name val="Arial"/>
      <family val="2"/>
    </font>
    <font>
      <sz val="10"/>
      <color theme="0"/>
      <name val="Arial"/>
      <family val="2"/>
    </font>
    <font>
      <b/>
      <sz val="12"/>
      <color theme="1"/>
      <name val="Calibri"/>
      <family val="2"/>
      <scheme val="minor"/>
    </font>
    <font>
      <b/>
      <sz val="16"/>
      <name val="Arial"/>
      <family val="2"/>
    </font>
    <font>
      <sz val="10"/>
      <color rgb="FFFF0000"/>
      <name val="Arial"/>
      <family val="2"/>
    </font>
  </fonts>
  <fills count="22">
    <fill>
      <patternFill patternType="none"/>
    </fill>
    <fill>
      <patternFill patternType="gray125"/>
    </fill>
    <fill>
      <patternFill patternType="solid">
        <fgColor rgb="FF0090FF"/>
        <bgColor indexed="64"/>
      </patternFill>
    </fill>
    <fill>
      <patternFill patternType="solid">
        <fgColor rgb="FF8DB3E2"/>
        <bgColor indexed="64"/>
      </patternFill>
    </fill>
    <fill>
      <patternFill patternType="solid">
        <fgColor rgb="FFC6D9F1"/>
        <bgColor indexed="64"/>
      </patternFill>
    </fill>
    <fill>
      <patternFill patternType="solid">
        <fgColor rgb="FFFF9933"/>
        <bgColor indexed="64"/>
      </patternFill>
    </fill>
    <fill>
      <patternFill patternType="solid">
        <fgColor theme="9"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00206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s>
  <borders count="17">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0" fontId="7" fillId="0" borderId="0" applyNumberFormat="0" applyFill="0" applyBorder="0" applyAlignment="0" applyProtection="0">
      <alignment vertical="top"/>
      <protection locked="0"/>
    </xf>
    <xf numFmtId="164" fontId="6" fillId="0" borderId="0" applyFont="0" applyFill="0" applyBorder="0" applyAlignment="0" applyProtection="0"/>
    <xf numFmtId="0" fontId="6" fillId="0" borderId="0"/>
    <xf numFmtId="9"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cellStyleXfs>
  <cellXfs count="158">
    <xf numFmtId="0" fontId="0" fillId="0" borderId="0" xfId="0"/>
    <xf numFmtId="0" fontId="8" fillId="0" borderId="0" xfId="0" applyFont="1" applyAlignment="1">
      <alignment horizontal="left" vertical="center"/>
    </xf>
    <xf numFmtId="0" fontId="13"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vertical="center" wrapText="1"/>
    </xf>
    <xf numFmtId="0" fontId="3" fillId="3" borderId="2"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9" fillId="0" borderId="2" xfId="0" applyFont="1" applyBorder="1" applyAlignment="1">
      <alignment horizontal="justify" vertical="center"/>
    </xf>
    <xf numFmtId="0" fontId="10" fillId="0" borderId="2" xfId="0" applyFont="1" applyBorder="1" applyAlignment="1">
      <alignment horizontal="justify" vertical="center"/>
    </xf>
    <xf numFmtId="0" fontId="0" fillId="0" borderId="0" xfId="0" applyAlignment="1">
      <alignment vertical="center"/>
    </xf>
    <xf numFmtId="0" fontId="0" fillId="0" borderId="0" xfId="0" applyAlignment="1">
      <alignment horizontal="center"/>
    </xf>
    <xf numFmtId="0" fontId="0" fillId="0" borderId="0" xfId="0" applyAlignment="1">
      <alignment horizontal="left"/>
    </xf>
    <xf numFmtId="0" fontId="8" fillId="0" borderId="8" xfId="0" applyFont="1" applyBorder="1" applyAlignment="1">
      <alignment horizontal="center"/>
    </xf>
    <xf numFmtId="0" fontId="8" fillId="0" borderId="8" xfId="0" applyFont="1" applyBorder="1" applyAlignment="1">
      <alignment horizontal="center" wrapText="1"/>
    </xf>
    <xf numFmtId="0" fontId="1" fillId="0" borderId="2" xfId="0" applyFont="1" applyBorder="1" applyAlignment="1">
      <alignment vertical="center" wrapText="1"/>
    </xf>
    <xf numFmtId="0" fontId="0" fillId="0" borderId="0" xfId="0" applyAlignment="1">
      <alignment horizontal="center" vertical="center"/>
    </xf>
    <xf numFmtId="9" fontId="0" fillId="0" borderId="0" xfId="0" applyNumberFormat="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xf>
    <xf numFmtId="9" fontId="0" fillId="0" borderId="2" xfId="0" applyNumberFormat="1" applyBorder="1" applyAlignment="1">
      <alignment horizontal="center" vertical="center"/>
    </xf>
    <xf numFmtId="0" fontId="4" fillId="0" borderId="2" xfId="0" applyFont="1" applyBorder="1" applyAlignment="1">
      <alignment vertical="center"/>
    </xf>
    <xf numFmtId="0" fontId="0" fillId="8"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0" borderId="2" xfId="0" applyBorder="1" applyAlignment="1">
      <alignment vertical="center"/>
    </xf>
    <xf numFmtId="0" fontId="0" fillId="7" borderId="2" xfId="0" applyFill="1" applyBorder="1" applyAlignment="1">
      <alignment horizontal="center" vertical="center"/>
    </xf>
    <xf numFmtId="0" fontId="3" fillId="0" borderId="2" xfId="0" applyFont="1" applyBorder="1" applyAlignment="1">
      <alignment vertical="center" wrapText="1"/>
    </xf>
    <xf numFmtId="0" fontId="1" fillId="9" borderId="2" xfId="0" applyFont="1" applyFill="1" applyBorder="1" applyAlignment="1">
      <alignment horizontal="center" vertical="center" wrapText="1"/>
    </xf>
    <xf numFmtId="0" fontId="0" fillId="0" borderId="2" xfId="0" applyBorder="1" applyAlignment="1">
      <alignment horizontal="center" vertical="center"/>
    </xf>
    <xf numFmtId="0" fontId="1" fillId="9" borderId="2" xfId="0" applyFont="1" applyFill="1" applyBorder="1" applyAlignment="1">
      <alignment horizontal="center" vertical="center"/>
    </xf>
    <xf numFmtId="0" fontId="1" fillId="10"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3" fillId="0" borderId="2" xfId="0" applyFont="1" applyBorder="1" applyAlignment="1">
      <alignment horizontal="center" vertical="center"/>
    </xf>
    <xf numFmtId="0" fontId="1" fillId="0" borderId="10" xfId="5" applyBorder="1" applyAlignment="1">
      <alignment horizontal="center" vertical="center" wrapText="1"/>
    </xf>
    <xf numFmtId="0" fontId="22" fillId="14" borderId="2" xfId="0" applyFont="1" applyFill="1" applyBorder="1"/>
    <xf numFmtId="0" fontId="3" fillId="7" borderId="2" xfId="0" applyFont="1" applyFill="1" applyBorder="1" applyAlignment="1">
      <alignment horizontal="center" vertical="center" wrapText="1"/>
    </xf>
    <xf numFmtId="0" fontId="3" fillId="15" borderId="2" xfId="0" applyFont="1" applyFill="1" applyBorder="1" applyAlignment="1">
      <alignment horizontal="center" vertical="center" wrapText="1"/>
    </xf>
    <xf numFmtId="0" fontId="1" fillId="0" borderId="2" xfId="0" applyFont="1" applyBorder="1" applyAlignment="1">
      <alignment horizontal="justify" vertical="center" wrapText="1"/>
    </xf>
    <xf numFmtId="9" fontId="1" fillId="0" borderId="2" xfId="0" applyNumberFormat="1" applyFont="1" applyBorder="1" applyAlignment="1">
      <alignment horizontal="center" vertical="center" wrapText="1"/>
    </xf>
    <xf numFmtId="0" fontId="23" fillId="0" borderId="0" xfId="0" applyFont="1"/>
    <xf numFmtId="0" fontId="1" fillId="0" borderId="0" xfId="0" applyFont="1"/>
    <xf numFmtId="0" fontId="1" fillId="0" borderId="0" xfId="5" applyAlignment="1">
      <alignment wrapText="1"/>
    </xf>
    <xf numFmtId="0" fontId="12" fillId="0" borderId="0" xfId="5" applyFont="1" applyAlignment="1">
      <alignment wrapText="1"/>
    </xf>
    <xf numFmtId="0" fontId="1" fillId="0" borderId="0" xfId="5"/>
    <xf numFmtId="0" fontId="19" fillId="0" borderId="2" xfId="5" applyFont="1" applyBorder="1" applyAlignment="1">
      <alignment wrapText="1"/>
    </xf>
    <xf numFmtId="0" fontId="19" fillId="0" borderId="0" xfId="5" applyFont="1" applyAlignment="1">
      <alignment wrapText="1"/>
    </xf>
    <xf numFmtId="0" fontId="1" fillId="0" borderId="2" xfId="5" applyBorder="1" applyAlignment="1">
      <alignment wrapText="1"/>
    </xf>
    <xf numFmtId="0" fontId="14" fillId="5" borderId="2" xfId="5" applyFont="1" applyFill="1" applyBorder="1" applyAlignment="1">
      <alignment horizontal="center" vertical="center" wrapText="1"/>
    </xf>
    <xf numFmtId="0" fontId="2" fillId="12" borderId="2" xfId="5" applyFont="1" applyFill="1" applyBorder="1" applyAlignment="1">
      <alignment horizontal="center" vertical="center" wrapText="1"/>
    </xf>
    <xf numFmtId="0" fontId="2" fillId="16" borderId="2" xfId="5" applyFont="1" applyFill="1" applyBorder="1" applyAlignment="1">
      <alignment horizontal="center" vertical="center" wrapText="1"/>
    </xf>
    <xf numFmtId="0" fontId="2" fillId="17" borderId="2" xfId="5" applyFont="1" applyFill="1" applyBorder="1" applyAlignment="1">
      <alignment vertical="center" wrapText="1"/>
    </xf>
    <xf numFmtId="0" fontId="2" fillId="17" borderId="2" xfId="5" applyFont="1" applyFill="1" applyBorder="1" applyAlignment="1">
      <alignment horizontal="center" vertical="center" wrapText="1"/>
    </xf>
    <xf numFmtId="0" fontId="16" fillId="0" borderId="2" xfId="5" applyFont="1" applyBorder="1" applyAlignment="1">
      <alignment vertical="center" wrapText="1"/>
    </xf>
    <xf numFmtId="0" fontId="1" fillId="0" borderId="2" xfId="5" applyBorder="1" applyAlignment="1">
      <alignment horizontal="center" vertical="center" wrapText="1"/>
    </xf>
    <xf numFmtId="0" fontId="16" fillId="0" borderId="2" xfId="5" applyFont="1" applyBorder="1" applyAlignment="1">
      <alignment horizontal="center" vertical="center" wrapText="1"/>
    </xf>
    <xf numFmtId="49" fontId="16" fillId="0" borderId="2" xfId="5" applyNumberFormat="1" applyFont="1" applyBorder="1" applyAlignment="1">
      <alignment horizontal="left" vertical="center" wrapText="1"/>
    </xf>
    <xf numFmtId="49" fontId="16" fillId="0" borderId="2" xfId="5" applyNumberFormat="1" applyFont="1" applyBorder="1" applyAlignment="1">
      <alignment horizontal="center" vertical="center" wrapText="1"/>
    </xf>
    <xf numFmtId="9" fontId="1" fillId="0" borderId="2" xfId="4" applyFont="1" applyBorder="1" applyAlignment="1">
      <alignment horizontal="center" vertical="center" wrapText="1"/>
    </xf>
    <xf numFmtId="0" fontId="1" fillId="21" borderId="2" xfId="5" applyFill="1" applyBorder="1" applyAlignment="1">
      <alignment horizontal="center" vertical="center" wrapText="1"/>
    </xf>
    <xf numFmtId="9" fontId="1" fillId="0" borderId="2" xfId="5" applyNumberFormat="1" applyBorder="1" applyAlignment="1">
      <alignment horizontal="center" vertical="center" wrapText="1"/>
    </xf>
    <xf numFmtId="165" fontId="1" fillId="0" borderId="2" xfId="5" applyNumberFormat="1" applyBorder="1" applyAlignment="1">
      <alignment horizontal="center" vertical="center" wrapText="1"/>
    </xf>
    <xf numFmtId="0" fontId="1" fillId="0" borderId="2" xfId="5" applyBorder="1" applyAlignment="1">
      <alignment horizontal="left" vertical="center" wrapText="1"/>
    </xf>
    <xf numFmtId="0" fontId="16" fillId="0" borderId="0" xfId="5" applyFont="1" applyAlignment="1">
      <alignment vertical="center" wrapText="1"/>
    </xf>
    <xf numFmtId="0" fontId="1" fillId="0" borderId="0" xfId="5" applyAlignment="1">
      <alignment horizontal="left" wrapText="1"/>
    </xf>
    <xf numFmtId="0" fontId="1" fillId="0" borderId="0" xfId="5" applyAlignment="1">
      <alignment horizontal="center" wrapText="1"/>
    </xf>
    <xf numFmtId="0" fontId="1" fillId="0" borderId="0" xfId="5" applyAlignment="1">
      <alignment horizontal="center" vertical="center" wrapText="1"/>
    </xf>
    <xf numFmtId="0" fontId="1" fillId="0" borderId="12" xfId="5" applyBorder="1" applyAlignment="1">
      <alignment horizontal="center" vertical="center" wrapText="1"/>
    </xf>
    <xf numFmtId="9" fontId="1" fillId="0" borderId="12" xfId="4" applyFont="1" applyBorder="1" applyAlignment="1">
      <alignment horizontal="center" vertical="center" wrapText="1"/>
    </xf>
    <xf numFmtId="9" fontId="1" fillId="0" borderId="12" xfId="5" applyNumberFormat="1" applyBorder="1" applyAlignment="1">
      <alignment horizontal="center" vertical="center" wrapText="1"/>
    </xf>
    <xf numFmtId="165" fontId="1" fillId="0" borderId="12" xfId="5" applyNumberFormat="1" applyBorder="1" applyAlignment="1">
      <alignment horizontal="center" vertical="center" wrapText="1"/>
    </xf>
    <xf numFmtId="0" fontId="16" fillId="0" borderId="2" xfId="5" applyFont="1" applyBorder="1" applyAlignment="1">
      <alignment horizontal="left" vertical="center" wrapText="1"/>
    </xf>
    <xf numFmtId="0" fontId="16" fillId="0" borderId="12" xfId="5" applyFont="1" applyBorder="1" applyAlignment="1">
      <alignment horizontal="center" vertical="center" wrapText="1"/>
    </xf>
    <xf numFmtId="0" fontId="1" fillId="0" borderId="12" xfId="5" applyBorder="1" applyAlignment="1">
      <alignment horizontal="left" vertical="center" wrapText="1"/>
    </xf>
    <xf numFmtId="1" fontId="16" fillId="21" borderId="2" xfId="5" applyNumberFormat="1" applyFont="1" applyFill="1" applyBorder="1" applyAlignment="1">
      <alignment horizontal="center" vertical="center" wrapText="1"/>
    </xf>
    <xf numFmtId="0" fontId="20" fillId="2" borderId="2" xfId="5" applyFont="1" applyFill="1" applyBorder="1" applyAlignment="1">
      <alignment vertical="center" wrapText="1"/>
    </xf>
    <xf numFmtId="0" fontId="16" fillId="0" borderId="12" xfId="5" applyFont="1" applyBorder="1" applyAlignment="1">
      <alignment vertical="center" wrapText="1"/>
    </xf>
    <xf numFmtId="0" fontId="1" fillId="21" borderId="12" xfId="5" applyFill="1" applyBorder="1" applyAlignment="1">
      <alignment horizontal="center" vertical="center" wrapText="1"/>
    </xf>
    <xf numFmtId="0" fontId="1" fillId="0" borderId="2" xfId="5" applyBorder="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9" fontId="1" fillId="0" borderId="2" xfId="0" applyNumberFormat="1" applyFont="1" applyBorder="1" applyAlignment="1">
      <alignment horizontal="center" vertical="center"/>
    </xf>
    <xf numFmtId="0" fontId="1" fillId="6" borderId="0" xfId="0" applyFont="1" applyFill="1" applyAlignment="1">
      <alignment vertical="center"/>
    </xf>
    <xf numFmtId="0" fontId="1" fillId="0" borderId="2" xfId="0" applyFont="1" applyBorder="1" applyAlignment="1">
      <alignment horizontal="left" vertical="center" wrapText="1"/>
    </xf>
    <xf numFmtId="0" fontId="1" fillId="0" borderId="0" xfId="0" applyFont="1" applyAlignment="1">
      <alignment vertical="center" wrapText="1"/>
    </xf>
    <xf numFmtId="1" fontId="16" fillId="21" borderId="13" xfId="5" applyNumberFormat="1" applyFont="1" applyFill="1" applyBorder="1" applyAlignment="1">
      <alignment horizontal="center" vertical="center" wrapText="1"/>
    </xf>
    <xf numFmtId="9" fontId="1" fillId="0" borderId="2" xfId="4" applyFont="1" applyBorder="1" applyAlignment="1">
      <alignment vertical="center" wrapText="1"/>
    </xf>
    <xf numFmtId="165" fontId="1" fillId="0" borderId="2" xfId="5" applyNumberFormat="1" applyBorder="1" applyAlignment="1">
      <alignment vertical="center" wrapText="1"/>
    </xf>
    <xf numFmtId="0" fontId="5" fillId="2" borderId="2" xfId="5" applyFont="1" applyFill="1" applyBorder="1" applyAlignment="1">
      <alignment horizontal="center" vertical="center" wrapText="1"/>
    </xf>
    <xf numFmtId="9" fontId="16" fillId="0" borderId="12" xfId="5" applyNumberFormat="1" applyFont="1" applyBorder="1" applyAlignment="1">
      <alignment horizontal="center" vertical="center" wrapText="1"/>
    </xf>
    <xf numFmtId="9" fontId="16" fillId="0" borderId="13" xfId="5" applyNumberFormat="1" applyFont="1" applyBorder="1" applyAlignment="1">
      <alignment horizontal="center" vertical="center" wrapText="1"/>
    </xf>
    <xf numFmtId="9" fontId="16" fillId="0" borderId="10" xfId="5" applyNumberFormat="1" applyFont="1" applyBorder="1" applyAlignment="1">
      <alignment horizontal="center" vertical="center" wrapText="1"/>
    </xf>
    <xf numFmtId="0" fontId="16" fillId="0" borderId="12"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0" xfId="5" applyFont="1" applyBorder="1" applyAlignment="1">
      <alignment horizontal="center" vertical="center" wrapText="1"/>
    </xf>
    <xf numFmtId="1" fontId="16" fillId="21" borderId="12" xfId="5" applyNumberFormat="1" applyFont="1" applyFill="1" applyBorder="1" applyAlignment="1">
      <alignment horizontal="center" vertical="center" wrapText="1"/>
    </xf>
    <xf numFmtId="1" fontId="16" fillId="21" borderId="13" xfId="5" applyNumberFormat="1" applyFont="1" applyFill="1" applyBorder="1" applyAlignment="1">
      <alignment horizontal="center" vertical="center" wrapText="1"/>
    </xf>
    <xf numFmtId="1" fontId="16" fillId="21" borderId="10" xfId="5" applyNumberFormat="1" applyFont="1" applyFill="1" applyBorder="1" applyAlignment="1">
      <alignment horizontal="center" vertical="center" wrapText="1"/>
    </xf>
    <xf numFmtId="165" fontId="1" fillId="0" borderId="12" xfId="5" applyNumberFormat="1" applyBorder="1" applyAlignment="1">
      <alignment horizontal="center" vertical="center" wrapText="1"/>
    </xf>
    <xf numFmtId="165" fontId="1" fillId="0" borderId="13" xfId="5" applyNumberFormat="1" applyBorder="1" applyAlignment="1">
      <alignment horizontal="center" vertical="center" wrapText="1"/>
    </xf>
    <xf numFmtId="165" fontId="1" fillId="0" borderId="10" xfId="5" applyNumberFormat="1" applyBorder="1" applyAlignment="1">
      <alignment horizontal="center" vertical="center" wrapText="1"/>
    </xf>
    <xf numFmtId="9" fontId="1" fillId="0" borderId="12" xfId="4" applyFont="1" applyBorder="1" applyAlignment="1">
      <alignment horizontal="center" vertical="center" wrapText="1"/>
    </xf>
    <xf numFmtId="9" fontId="1" fillId="0" borderId="13" xfId="4" applyFont="1" applyBorder="1" applyAlignment="1">
      <alignment horizontal="center" vertical="center" wrapText="1"/>
    </xf>
    <xf numFmtId="9" fontId="1" fillId="0" borderId="10" xfId="4" applyFont="1" applyBorder="1" applyAlignment="1">
      <alignment horizontal="center" vertical="center" wrapText="1"/>
    </xf>
    <xf numFmtId="0" fontId="1" fillId="0" borderId="12" xfId="5" applyBorder="1" applyAlignment="1">
      <alignment horizontal="center" vertical="center" wrapText="1"/>
    </xf>
    <xf numFmtId="0" fontId="1" fillId="0" borderId="13" xfId="5" applyBorder="1" applyAlignment="1">
      <alignment horizontal="center" vertical="center" wrapText="1"/>
    </xf>
    <xf numFmtId="0" fontId="1" fillId="0" borderId="10" xfId="5" applyBorder="1" applyAlignment="1">
      <alignment horizontal="center" vertical="center" wrapText="1"/>
    </xf>
    <xf numFmtId="14" fontId="1" fillId="0" borderId="12" xfId="5" applyNumberFormat="1" applyBorder="1" applyAlignment="1">
      <alignment horizontal="center" vertical="center" wrapText="1"/>
    </xf>
    <xf numFmtId="14" fontId="1" fillId="0" borderId="13" xfId="5" applyNumberFormat="1" applyBorder="1" applyAlignment="1">
      <alignment horizontal="center" vertical="center" wrapText="1"/>
    </xf>
    <xf numFmtId="14" fontId="1" fillId="0" borderId="10" xfId="5" applyNumberFormat="1" applyBorder="1" applyAlignment="1">
      <alignment horizontal="center" vertical="center" wrapText="1"/>
    </xf>
    <xf numFmtId="0" fontId="1" fillId="0" borderId="12" xfId="5" applyBorder="1" applyAlignment="1">
      <alignment horizontal="left" vertical="center" wrapText="1"/>
    </xf>
    <xf numFmtId="0" fontId="1" fillId="0" borderId="13" xfId="5" applyBorder="1" applyAlignment="1">
      <alignment horizontal="left" vertical="center" wrapText="1"/>
    </xf>
    <xf numFmtId="0" fontId="1" fillId="0" borderId="10" xfId="5" applyBorder="1" applyAlignment="1">
      <alignment horizontal="left" vertical="center" wrapText="1"/>
    </xf>
    <xf numFmtId="0" fontId="5" fillId="2" borderId="2" xfId="5" applyFont="1" applyFill="1" applyBorder="1" applyAlignment="1">
      <alignment horizontal="center" vertical="center" wrapText="1"/>
    </xf>
    <xf numFmtId="0" fontId="1" fillId="0" borderId="2" xfId="5" applyBorder="1" applyAlignment="1">
      <alignment horizontal="center" vertical="center" wrapText="1"/>
    </xf>
    <xf numFmtId="14" fontId="1" fillId="0" borderId="2" xfId="5" applyNumberFormat="1" applyBorder="1" applyAlignment="1">
      <alignment horizontal="center" vertical="center" wrapText="1"/>
    </xf>
    <xf numFmtId="9" fontId="16" fillId="0" borderId="2" xfId="5" applyNumberFormat="1" applyFont="1" applyBorder="1" applyAlignment="1">
      <alignment horizontal="center" vertical="center" wrapText="1"/>
    </xf>
    <xf numFmtId="0" fontId="16" fillId="0" borderId="2" xfId="5" applyFont="1" applyBorder="1" applyAlignment="1">
      <alignment horizontal="center" vertical="center" wrapText="1"/>
    </xf>
    <xf numFmtId="1" fontId="16" fillId="21" borderId="2" xfId="5" applyNumberFormat="1" applyFont="1" applyFill="1" applyBorder="1" applyAlignment="1">
      <alignment horizontal="center" vertical="center" wrapText="1"/>
    </xf>
    <xf numFmtId="0" fontId="24" fillId="0" borderId="0" xfId="5" applyFont="1" applyAlignment="1">
      <alignment horizontal="center" vertical="center" wrapText="1"/>
    </xf>
    <xf numFmtId="0" fontId="21" fillId="5" borderId="2" xfId="5" applyFont="1" applyFill="1" applyBorder="1" applyAlignment="1">
      <alignment horizontal="center" vertical="center" wrapText="1"/>
    </xf>
    <xf numFmtId="0" fontId="20" fillId="2" borderId="4" xfId="5" applyFont="1" applyFill="1" applyBorder="1" applyAlignment="1">
      <alignment horizontal="center" vertical="center" wrapText="1"/>
    </xf>
    <xf numFmtId="0" fontId="20" fillId="2" borderId="8" xfId="5" applyFont="1" applyFill="1" applyBorder="1" applyAlignment="1">
      <alignment horizontal="center" vertical="center" wrapText="1"/>
    </xf>
    <xf numFmtId="0" fontId="20" fillId="2" borderId="5" xfId="5" applyFont="1" applyFill="1" applyBorder="1" applyAlignment="1">
      <alignment horizontal="center" vertical="center" wrapText="1"/>
    </xf>
    <xf numFmtId="0" fontId="14" fillId="5" borderId="2" xfId="5" applyFont="1" applyFill="1" applyBorder="1" applyAlignment="1">
      <alignment horizontal="center" vertical="center" wrapText="1"/>
    </xf>
    <xf numFmtId="0" fontId="21" fillId="19" borderId="4" xfId="5" applyFont="1" applyFill="1" applyBorder="1" applyAlignment="1">
      <alignment horizontal="center" vertical="center" wrapText="1"/>
    </xf>
    <xf numFmtId="0" fontId="21" fillId="19" borderId="8" xfId="5" applyFont="1" applyFill="1" applyBorder="1" applyAlignment="1">
      <alignment horizontal="center" vertical="center" wrapText="1"/>
    </xf>
    <xf numFmtId="0" fontId="21" fillId="19" borderId="5" xfId="5" applyFont="1" applyFill="1" applyBorder="1" applyAlignment="1">
      <alignment horizontal="center" vertical="center" wrapText="1"/>
    </xf>
    <xf numFmtId="0" fontId="20" fillId="7" borderId="4" xfId="6" applyFont="1" applyFill="1" applyBorder="1" applyAlignment="1">
      <alignment horizontal="center" vertical="center" wrapText="1"/>
    </xf>
    <xf numFmtId="0" fontId="20" fillId="7" borderId="8" xfId="6" applyFont="1" applyFill="1" applyBorder="1" applyAlignment="1">
      <alignment horizontal="center" vertical="center" wrapText="1"/>
    </xf>
    <xf numFmtId="0" fontId="20" fillId="7" borderId="5" xfId="6" applyFont="1" applyFill="1" applyBorder="1" applyAlignment="1">
      <alignment horizontal="center" vertical="center" wrapText="1"/>
    </xf>
    <xf numFmtId="0" fontId="5" fillId="7" borderId="12" xfId="6" applyFont="1" applyFill="1" applyBorder="1" applyAlignment="1">
      <alignment horizontal="center" vertical="center" wrapText="1"/>
    </xf>
    <xf numFmtId="0" fontId="5" fillId="7" borderId="10" xfId="6" applyFont="1" applyFill="1" applyBorder="1" applyAlignment="1">
      <alignment horizontal="center" vertical="center" wrapText="1"/>
    </xf>
    <xf numFmtId="0" fontId="14" fillId="13" borderId="2" xfId="5" applyFont="1" applyFill="1" applyBorder="1" applyAlignment="1">
      <alignment horizontal="center" vertical="center" wrapText="1"/>
    </xf>
    <xf numFmtId="0" fontId="14" fillId="20" borderId="2" xfId="5" applyFont="1" applyFill="1" applyBorder="1" applyAlignment="1">
      <alignment horizontal="center" vertical="center" wrapText="1"/>
    </xf>
    <xf numFmtId="0" fontId="14" fillId="18" borderId="2" xfId="5" applyFont="1" applyFill="1" applyBorder="1" applyAlignment="1">
      <alignment horizontal="center" vertical="center" wrapText="1"/>
    </xf>
    <xf numFmtId="0" fontId="5" fillId="2" borderId="14" xfId="5" applyFont="1" applyFill="1" applyBorder="1" applyAlignment="1">
      <alignment horizontal="center" vertical="center" wrapText="1"/>
    </xf>
    <xf numFmtId="0" fontId="5" fillId="2" borderId="15" xfId="5" applyFont="1" applyFill="1" applyBorder="1" applyAlignment="1">
      <alignment horizontal="center" vertical="center" wrapText="1"/>
    </xf>
    <xf numFmtId="0" fontId="5" fillId="2" borderId="16" xfId="5"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8" xfId="0" applyFont="1" applyBorder="1" applyAlignment="1">
      <alignment horizontal="center" vertical="center"/>
    </xf>
    <xf numFmtId="0" fontId="8" fillId="0" borderId="5" xfId="0" applyFont="1" applyBorder="1" applyAlignment="1">
      <alignment horizontal="center" vertical="center"/>
    </xf>
    <xf numFmtId="0" fontId="2" fillId="0" borderId="7" xfId="0" applyFont="1" applyBorder="1" applyAlignment="1">
      <alignment horizontal="center" vertical="center" textRotation="90" wrapText="1"/>
    </xf>
    <xf numFmtId="0" fontId="2" fillId="0" borderId="0" xfId="0" applyFont="1" applyAlignment="1">
      <alignment horizontal="center" vertical="center" wrapText="1"/>
    </xf>
    <xf numFmtId="0" fontId="14" fillId="14" borderId="2" xfId="0" applyFont="1" applyFill="1" applyBorder="1" applyAlignment="1">
      <alignment horizontal="center"/>
    </xf>
    <xf numFmtId="0" fontId="14" fillId="14" borderId="11" xfId="0" applyFont="1" applyFill="1" applyBorder="1" applyAlignment="1">
      <alignment horizontal="center" vertical="center"/>
    </xf>
    <xf numFmtId="0" fontId="14" fillId="14" borderId="6" xfId="0" applyFont="1" applyFill="1" applyBorder="1" applyAlignment="1">
      <alignment horizontal="center" vertical="center"/>
    </xf>
    <xf numFmtId="0" fontId="1" fillId="11" borderId="6" xfId="0" applyFont="1" applyFill="1" applyBorder="1" applyAlignment="1">
      <alignment horizontal="center" vertical="center"/>
    </xf>
    <xf numFmtId="0" fontId="2" fillId="0" borderId="2" xfId="0" applyFont="1" applyBorder="1" applyAlignment="1">
      <alignment horizontal="center" vertical="center" wrapText="1"/>
    </xf>
    <xf numFmtId="0" fontId="8" fillId="0" borderId="4" xfId="0" applyFont="1" applyBorder="1" applyAlignment="1">
      <alignment horizontal="center" vertical="center"/>
    </xf>
    <xf numFmtId="0" fontId="1" fillId="0" borderId="2" xfId="0" applyFont="1" applyBorder="1" applyAlignment="1">
      <alignment horizontal="left" vertical="center" wrapText="1"/>
    </xf>
    <xf numFmtId="0" fontId="3" fillId="7" borderId="6"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8" fillId="0" borderId="2" xfId="0" applyFont="1" applyBorder="1" applyAlignment="1">
      <alignment horizontal="center" vertical="center" wrapText="1"/>
    </xf>
  </cellXfs>
  <cellStyles count="8">
    <cellStyle name="Hipervínculo 2" xfId="1" xr:uid="{00000000-0005-0000-0000-000000000000}"/>
    <cellStyle name="Millares 2" xfId="2" xr:uid="{00000000-0005-0000-0000-000001000000}"/>
    <cellStyle name="Millares 2 2" xfId="7" xr:uid="{0BF28426-8204-45E6-AE0F-C82DE9F90A35}"/>
    <cellStyle name="Normal" xfId="0" builtinId="0"/>
    <cellStyle name="Normal 2" xfId="3" xr:uid="{00000000-0005-0000-0000-000003000000}"/>
    <cellStyle name="Normal 2 2" xfId="6" xr:uid="{57784A00-BC12-434D-AF68-00F9AF8B186A}"/>
    <cellStyle name="Normal 3" xfId="5" xr:uid="{9DC3EE4C-15EB-4E4C-AD84-5CA588D4D935}"/>
    <cellStyle name="Porcentaje" xfId="4" builtinId="5"/>
  </cellStyles>
  <dxfs count="12">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
      <font>
        <color theme="0"/>
      </font>
      <fill>
        <patternFill>
          <bgColor rgb="FFFF0000"/>
        </patternFill>
      </fill>
    </dxf>
    <dxf>
      <fill>
        <patternFill>
          <bgColor rgb="FFFFC000"/>
        </patternFill>
      </fill>
    </dxf>
    <dxf>
      <fill>
        <patternFill>
          <bgColor rgb="FFFFFF00"/>
        </patternFill>
      </fill>
    </dxf>
    <dxf>
      <fill>
        <patternFill>
          <bgColor rgb="FF92D050"/>
        </patternFill>
      </fill>
    </dxf>
  </dxfs>
  <tableStyles count="0" defaultTableStyle="TableStyleMedium9" defaultPivotStyle="PivotStyleLight16"/>
  <colors>
    <mruColors>
      <color rgb="FFFFCC66"/>
      <color rgb="FFFFEC9B"/>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3</xdr:col>
      <xdr:colOff>2598</xdr:colOff>
      <xdr:row>2</xdr:row>
      <xdr:rowOff>124114</xdr:rowOff>
    </xdr:to>
    <xdr:pic>
      <xdr:nvPicPr>
        <xdr:cNvPr id="2" name="Imagen 1">
          <a:extLst>
            <a:ext uri="{FF2B5EF4-FFF2-40B4-BE49-F238E27FC236}">
              <a16:creationId xmlns:a16="http://schemas.microsoft.com/office/drawing/2014/main" id="{E2BA08CA-7F6D-48A5-8527-63C22D638F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0"/>
          <a:ext cx="2002848" cy="670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1426752</xdr:colOff>
      <xdr:row>73</xdr:row>
      <xdr:rowOff>109025</xdr:rowOff>
    </xdr:from>
    <xdr:to>
      <xdr:col>15</xdr:col>
      <xdr:colOff>1505922</xdr:colOff>
      <xdr:row>82</xdr:row>
      <xdr:rowOff>25553</xdr:rowOff>
    </xdr:to>
    <xdr:sp macro="" textlink="">
      <xdr:nvSpPr>
        <xdr:cNvPr id="3" name="CuadroTexto 2">
          <a:extLst>
            <a:ext uri="{FF2B5EF4-FFF2-40B4-BE49-F238E27FC236}">
              <a16:creationId xmlns:a16="http://schemas.microsoft.com/office/drawing/2014/main" id="{34510E4D-5559-4BAD-A43C-3E6B214C2B96}"/>
            </a:ext>
          </a:extLst>
        </xdr:cNvPr>
        <xdr:cNvSpPr txBox="1"/>
      </xdr:nvSpPr>
      <xdr:spPr>
        <a:xfrm>
          <a:off x="9148352" y="17673125"/>
          <a:ext cx="22024770" cy="14024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CO" sz="1100">
              <a:solidFill>
                <a:schemeClr val="dk1"/>
              </a:solidFill>
              <a:effectLst/>
              <a:latin typeface="+mn-lt"/>
              <a:ea typeface="+mn-ea"/>
              <a:cs typeface="+mn-cs"/>
            </a:rPr>
            <a:t>F.RI.001.005		    	  										 												                                                                               Fecha</a:t>
          </a:r>
          <a:r>
            <a:rPr lang="es-CO" sz="1100" baseline="0">
              <a:solidFill>
                <a:schemeClr val="dk1"/>
              </a:solidFill>
              <a:effectLst/>
              <a:latin typeface="+mn-lt"/>
              <a:ea typeface="+mn-ea"/>
              <a:cs typeface="+mn-cs"/>
            </a:rPr>
            <a:t> de Publicación:</a:t>
          </a:r>
          <a:r>
            <a:rPr lang="es-CO" sz="1100" baseline="0">
              <a:solidFill>
                <a:srgbClr val="FF0000"/>
              </a:solidFill>
              <a:effectLst/>
              <a:latin typeface="+mn-lt"/>
              <a:ea typeface="+mn-ea"/>
              <a:cs typeface="+mn-cs"/>
            </a:rPr>
            <a:t> </a:t>
          </a:r>
          <a:r>
            <a:rPr lang="es-CO" sz="1100" baseline="0">
              <a:solidFill>
                <a:sysClr val="windowText" lastClr="000000"/>
              </a:solidFill>
              <a:effectLst/>
              <a:latin typeface="+mn-lt"/>
              <a:ea typeface="+mn-ea"/>
              <a:cs typeface="+mn-cs"/>
            </a:rPr>
            <a:t>23 de Mayo de 2023</a:t>
          </a:r>
          <a:r>
            <a:rPr lang="es-CO" sz="1100" baseline="0">
              <a:solidFill>
                <a:schemeClr val="dk1"/>
              </a:solidFill>
              <a:effectLst/>
              <a:latin typeface="+mn-lt"/>
              <a:ea typeface="+mn-ea"/>
              <a:cs typeface="+mn-cs"/>
            </a:rPr>
            <a:t>				                                                                                                   Página 1 de 1</a:t>
          </a:r>
          <a:endParaRPr lang="es-CO">
            <a:effectLst/>
          </a:endParaRPr>
        </a:p>
        <a:p>
          <a:endParaRPr lang="es-CO"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cd\Privada\Documents%20and%20Settings\varglu\Mis%20documentos\Luisita\Luisa%20Fernanda\CALIDAD%202007\Planeaci&#243;n%20y%20revis&#243;n%20SGC\Plan%20de%20cambi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cd\Privada\Sistema%20Integrado%20de%20Gesti&#243;n\1_Informaci&#243;n%20Documentada\2-Administraci&#243;n%20de%20Riesgos\3-Riesgos%20de%20SI\Formatos\F.RI.052.002%20Matriz%20y%20Mapa%20de%20Riesgos%20Seguridad%20de%20la%20Informaci&#24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eación"/>
      <sheetName val="Hoja2"/>
      <sheetName val="Escalas"/>
      <sheetName val="Controles"/>
      <sheetName val="RNBD"/>
    </sheetNames>
    <sheetDataSet>
      <sheetData sheetId="0"/>
      <sheetData sheetId="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Riesgos"/>
      <sheetName val="Evaluación de controles"/>
      <sheetName val="Mapa de Riesgos SI"/>
      <sheetName val="Párametros"/>
      <sheetName val="Hoja4"/>
    </sheetNames>
    <sheetDataSet>
      <sheetData sheetId="0" refreshError="1"/>
      <sheetData sheetId="1" refreshError="1"/>
      <sheetData sheetId="2" refreshError="1"/>
      <sheetData sheetId="3"/>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97E8-12B0-488A-B353-693CD1FD5482}">
  <sheetPr filterMode="1"/>
  <dimension ref="A2:BC60"/>
  <sheetViews>
    <sheetView showGridLines="0" tabSelected="1" showWhiteSpace="0" topLeftCell="A2" zoomScaleNormal="100" zoomScaleSheetLayoutView="100" zoomScalePageLayoutView="115" workbookViewId="0">
      <selection activeCell="G10" sqref="G10:G12"/>
    </sheetView>
  </sheetViews>
  <sheetFormatPr defaultColWidth="11.42578125" defaultRowHeight="12.6"/>
  <cols>
    <col min="1" max="1" width="1.85546875" style="46" customWidth="1"/>
    <col min="2" max="2" width="14.28515625" style="46" customWidth="1"/>
    <col min="3" max="3" width="16.28515625" style="46" customWidth="1"/>
    <col min="4" max="4" width="19.28515625" style="46" customWidth="1"/>
    <col min="5" max="5" width="28" style="46" bestFit="1" customWidth="1"/>
    <col min="6" max="6" width="30.7109375" style="46" customWidth="1"/>
    <col min="7" max="7" width="32.140625" style="46" customWidth="1"/>
    <col min="8" max="8" width="23.5703125" style="46" customWidth="1"/>
    <col min="9" max="9" width="21.7109375" style="46" customWidth="1"/>
    <col min="10" max="10" width="59" style="46" customWidth="1"/>
    <col min="11" max="11" width="37.140625" style="46" customWidth="1"/>
    <col min="12" max="12" width="18.85546875" style="46" customWidth="1"/>
    <col min="13" max="13" width="31" style="46" customWidth="1"/>
    <col min="14" max="14" width="26.42578125" style="46" customWidth="1"/>
    <col min="15" max="15" width="63.5703125" style="46" customWidth="1"/>
    <col min="16" max="18" width="48.5703125" style="46" customWidth="1"/>
    <col min="19" max="19" width="11.7109375" style="46" customWidth="1"/>
    <col min="20" max="20" width="16.28515625" style="46" customWidth="1"/>
    <col min="21" max="21" width="10.42578125" style="46" customWidth="1"/>
    <col min="22" max="22" width="18" style="46" customWidth="1"/>
    <col min="23" max="24" width="10.42578125" style="46" customWidth="1"/>
    <col min="25" max="25" width="23.28515625" style="46" customWidth="1"/>
    <col min="26" max="26" width="30.85546875" style="68" customWidth="1"/>
    <col min="27" max="27" width="26.140625" style="46" customWidth="1"/>
    <col min="28" max="28" width="14.7109375" style="46" customWidth="1"/>
    <col min="29" max="29" width="16" style="46" customWidth="1"/>
    <col min="30" max="30" width="16.5703125" style="46" customWidth="1"/>
    <col min="31" max="31" width="16" style="46" customWidth="1"/>
    <col min="32" max="32" width="12.85546875" style="69" customWidth="1"/>
    <col min="33" max="33" width="16" style="46" customWidth="1"/>
    <col min="34" max="34" width="24.85546875" style="46" customWidth="1"/>
    <col min="35" max="35" width="16" style="46" customWidth="1"/>
    <col min="36" max="36" width="29.5703125" style="46" customWidth="1"/>
    <col min="37" max="37" width="19" style="69" customWidth="1"/>
    <col min="38" max="38" width="16" style="46" customWidth="1"/>
    <col min="39" max="39" width="26.42578125" style="46" customWidth="1"/>
    <col min="40" max="40" width="30.7109375" style="46" customWidth="1"/>
    <col min="41" max="41" width="21.5703125" style="46" customWidth="1"/>
    <col min="42" max="42" width="26.85546875" style="46" customWidth="1"/>
    <col min="43" max="43" width="39.5703125" style="46" customWidth="1"/>
    <col min="44" max="44" width="17.5703125" style="46" customWidth="1"/>
    <col min="45" max="45" width="17.42578125" style="46" bestFit="1" customWidth="1"/>
    <col min="46" max="46" width="17.42578125" style="46" customWidth="1"/>
    <col min="47" max="47" width="31.42578125" style="69" customWidth="1"/>
    <col min="48" max="48" width="34.5703125" style="68" customWidth="1"/>
    <col min="49" max="49" width="14.7109375" style="69" customWidth="1"/>
    <col min="50" max="50" width="25.42578125" style="70" customWidth="1"/>
    <col min="51" max="51" width="11.42578125" style="48"/>
    <col min="52" max="16384" width="11.42578125" style="46"/>
  </cols>
  <sheetData>
    <row r="2" spans="1:55" ht="30" customHeight="1">
      <c r="I2" s="123" t="s">
        <v>0</v>
      </c>
      <c r="J2" s="123"/>
      <c r="K2" s="123"/>
      <c r="L2" s="123"/>
      <c r="M2" s="123"/>
      <c r="N2" s="123"/>
      <c r="O2" s="123"/>
      <c r="P2" s="123"/>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S2" s="47"/>
      <c r="AT2" s="47"/>
      <c r="AU2" s="47"/>
      <c r="AV2" s="47"/>
      <c r="AW2" s="47"/>
      <c r="AX2" s="47"/>
    </row>
    <row r="4" spans="1:55" s="50" customFormat="1" ht="15.75" customHeight="1">
      <c r="A4" s="49"/>
      <c r="B4" s="79" t="s">
        <v>1</v>
      </c>
      <c r="C4" s="125"/>
      <c r="D4" s="126"/>
      <c r="E4" s="126"/>
      <c r="F4" s="126"/>
      <c r="G4" s="126"/>
      <c r="H4" s="126"/>
      <c r="I4" s="126"/>
      <c r="J4" s="126"/>
      <c r="K4" s="126"/>
      <c r="L4" s="126"/>
      <c r="M4" s="126"/>
      <c r="N4" s="126"/>
      <c r="O4" s="126"/>
      <c r="P4" s="126"/>
      <c r="Q4" s="126"/>
      <c r="R4" s="127"/>
      <c r="S4" s="124" t="s">
        <v>2</v>
      </c>
      <c r="T4" s="124"/>
      <c r="U4" s="124"/>
      <c r="V4" s="124"/>
      <c r="W4" s="124"/>
      <c r="X4" s="124"/>
      <c r="Y4" s="124"/>
      <c r="Z4" s="129"/>
      <c r="AA4" s="130"/>
      <c r="AB4" s="130"/>
      <c r="AC4" s="130"/>
      <c r="AD4" s="130"/>
      <c r="AE4" s="130"/>
      <c r="AF4" s="130"/>
      <c r="AG4" s="130"/>
      <c r="AH4" s="130"/>
      <c r="AI4" s="130"/>
      <c r="AJ4" s="130"/>
      <c r="AK4" s="130"/>
      <c r="AL4" s="130"/>
      <c r="AM4" s="130"/>
      <c r="AN4" s="130"/>
      <c r="AO4" s="130"/>
      <c r="AP4" s="130"/>
      <c r="AQ4" s="130"/>
      <c r="AR4" s="130"/>
      <c r="AS4" s="130"/>
      <c r="AT4" s="131"/>
      <c r="AU4" s="132" t="s">
        <v>3</v>
      </c>
      <c r="AV4" s="133"/>
      <c r="AW4" s="133"/>
      <c r="AX4" s="134"/>
    </row>
    <row r="5" spans="1:55" ht="37.5" customHeight="1">
      <c r="A5" s="51"/>
      <c r="B5" s="117" t="s">
        <v>4</v>
      </c>
      <c r="C5" s="117" t="s">
        <v>5</v>
      </c>
      <c r="D5" s="117" t="s">
        <v>6</v>
      </c>
      <c r="E5" s="117" t="s">
        <v>7</v>
      </c>
      <c r="F5" s="117" t="s">
        <v>8</v>
      </c>
      <c r="G5" s="117" t="s">
        <v>9</v>
      </c>
      <c r="H5" s="117" t="s">
        <v>10</v>
      </c>
      <c r="I5" s="117" t="s">
        <v>11</v>
      </c>
      <c r="J5" s="117" t="s">
        <v>12</v>
      </c>
      <c r="K5" s="117" t="s">
        <v>13</v>
      </c>
      <c r="L5" s="117" t="s">
        <v>14</v>
      </c>
      <c r="M5" s="117"/>
      <c r="N5" s="117" t="s">
        <v>15</v>
      </c>
      <c r="O5" s="140" t="s">
        <v>16</v>
      </c>
      <c r="P5" s="141"/>
      <c r="Q5" s="142"/>
      <c r="R5" s="117" t="s">
        <v>17</v>
      </c>
      <c r="S5" s="128" t="s">
        <v>18</v>
      </c>
      <c r="T5" s="128"/>
      <c r="U5" s="128"/>
      <c r="V5" s="128" t="s">
        <v>19</v>
      </c>
      <c r="W5" s="128"/>
      <c r="X5" s="128" t="s">
        <v>20</v>
      </c>
      <c r="Y5" s="128"/>
      <c r="Z5" s="137" t="s">
        <v>21</v>
      </c>
      <c r="AA5" s="137"/>
      <c r="AB5" s="137"/>
      <c r="AC5" s="137"/>
      <c r="AD5" s="137"/>
      <c r="AE5" s="137"/>
      <c r="AF5" s="137"/>
      <c r="AG5" s="137"/>
      <c r="AH5" s="137"/>
      <c r="AI5" s="137"/>
      <c r="AJ5" s="137"/>
      <c r="AK5" s="137"/>
      <c r="AL5" s="137"/>
      <c r="AM5" s="137"/>
      <c r="AN5" s="138" t="s">
        <v>22</v>
      </c>
      <c r="AO5" s="138"/>
      <c r="AP5" s="138"/>
      <c r="AQ5" s="138"/>
      <c r="AR5" s="139" t="s">
        <v>23</v>
      </c>
      <c r="AS5" s="139"/>
      <c r="AT5" s="139"/>
      <c r="AU5" s="135" t="s">
        <v>24</v>
      </c>
      <c r="AV5" s="135" t="s">
        <v>25</v>
      </c>
      <c r="AW5" s="135" t="s">
        <v>26</v>
      </c>
      <c r="AX5" s="135" t="s">
        <v>27</v>
      </c>
    </row>
    <row r="6" spans="1:55" ht="39">
      <c r="A6" s="51"/>
      <c r="B6" s="117"/>
      <c r="C6" s="117"/>
      <c r="D6" s="117"/>
      <c r="E6" s="117"/>
      <c r="F6" s="117"/>
      <c r="G6" s="117"/>
      <c r="H6" s="117"/>
      <c r="I6" s="117"/>
      <c r="J6" s="117"/>
      <c r="K6" s="117"/>
      <c r="L6" s="117"/>
      <c r="M6" s="117"/>
      <c r="N6" s="117"/>
      <c r="O6" s="92" t="s">
        <v>28</v>
      </c>
      <c r="P6" s="92" t="s">
        <v>29</v>
      </c>
      <c r="Q6" s="92" t="s">
        <v>30</v>
      </c>
      <c r="R6" s="117"/>
      <c r="S6" s="52" t="s">
        <v>31</v>
      </c>
      <c r="T6" s="52" t="s">
        <v>32</v>
      </c>
      <c r="U6" s="52" t="s">
        <v>33</v>
      </c>
      <c r="V6" s="52" t="s">
        <v>34</v>
      </c>
      <c r="W6" s="52" t="s">
        <v>33</v>
      </c>
      <c r="X6" s="52" t="s">
        <v>33</v>
      </c>
      <c r="Y6" s="52" t="s">
        <v>35</v>
      </c>
      <c r="Z6" s="53" t="s">
        <v>36</v>
      </c>
      <c r="AA6" s="53" t="s">
        <v>37</v>
      </c>
      <c r="AB6" s="53" t="s">
        <v>38</v>
      </c>
      <c r="AC6" s="53" t="s">
        <v>39</v>
      </c>
      <c r="AD6" s="53" t="s">
        <v>40</v>
      </c>
      <c r="AE6" s="53" t="s">
        <v>39</v>
      </c>
      <c r="AF6" s="53" t="s">
        <v>41</v>
      </c>
      <c r="AG6" s="53" t="s">
        <v>39</v>
      </c>
      <c r="AH6" s="53" t="s">
        <v>42</v>
      </c>
      <c r="AI6" s="53" t="s">
        <v>39</v>
      </c>
      <c r="AJ6" s="53" t="s">
        <v>43</v>
      </c>
      <c r="AK6" s="53" t="s">
        <v>44</v>
      </c>
      <c r="AL6" s="53" t="s">
        <v>39</v>
      </c>
      <c r="AM6" s="53" t="s">
        <v>45</v>
      </c>
      <c r="AN6" s="54" t="s">
        <v>46</v>
      </c>
      <c r="AO6" s="54" t="s">
        <v>47</v>
      </c>
      <c r="AP6" s="54" t="s">
        <v>48</v>
      </c>
      <c r="AQ6" s="54" t="s">
        <v>49</v>
      </c>
      <c r="AR6" s="55" t="s">
        <v>50</v>
      </c>
      <c r="AS6" s="55" t="s">
        <v>51</v>
      </c>
      <c r="AT6" s="56" t="s">
        <v>52</v>
      </c>
      <c r="AU6" s="136"/>
      <c r="AV6" s="136"/>
      <c r="AW6" s="136"/>
      <c r="AX6" s="136"/>
      <c r="BC6" s="46" t="s">
        <v>53</v>
      </c>
    </row>
    <row r="7" spans="1:55" s="67" customFormat="1" ht="39.950000000000003" hidden="1" customHeight="1">
      <c r="A7" s="57"/>
      <c r="B7" s="118" t="s">
        <v>54</v>
      </c>
      <c r="C7" s="119"/>
      <c r="D7" s="119"/>
      <c r="E7" s="118"/>
      <c r="F7" s="118"/>
      <c r="G7" s="114"/>
      <c r="H7" s="118"/>
      <c r="I7" s="118"/>
      <c r="J7" s="114"/>
      <c r="K7" s="108"/>
      <c r="L7" s="108"/>
      <c r="M7" s="114"/>
      <c r="N7" s="118"/>
      <c r="O7" s="118"/>
      <c r="P7" s="118"/>
      <c r="Q7" s="118"/>
      <c r="R7" s="118"/>
      <c r="S7" s="118"/>
      <c r="T7" s="118"/>
      <c r="U7" s="118">
        <f>IF(T7="Catastrófico",5,IF(T7="Mayor",4,IF(T7="Moderado",3,IF(T7="Menor",2,1))))</f>
        <v>1</v>
      </c>
      <c r="V7" s="118"/>
      <c r="W7" s="118">
        <f>IF(V7="Muy probable",5,IF(V7="Probable",4,IF(V7="Moderada",3,IF(V7="Baja",2,1))))</f>
        <v>1</v>
      </c>
      <c r="X7" s="118">
        <f t="shared" ref="X7" si="0">+W7*U7</f>
        <v>1</v>
      </c>
      <c r="Y7" s="121"/>
      <c r="Z7" s="60"/>
      <c r="AA7" s="61"/>
      <c r="AB7" s="38" t="s">
        <v>55</v>
      </c>
      <c r="AC7" s="62">
        <f t="shared" ref="AC7" si="1">IF(AB7="PREVENTIVO",90%,IF(AB7="DETECTIVO",60%,IF(AB7="CORRECTIVO",30%)))</f>
        <v>0.9</v>
      </c>
      <c r="AD7" s="58" t="s">
        <v>56</v>
      </c>
      <c r="AE7" s="62">
        <f t="shared" ref="AE7" si="2">IF(AD7="MANUAL",40%,IF(AD7="SEMI AUTOMÁTICA",60%,IF(AD7="AUTOMÁTICA",95%)))</f>
        <v>0.4</v>
      </c>
      <c r="AF7" s="58" t="s">
        <v>57</v>
      </c>
      <c r="AG7" s="62">
        <f t="shared" ref="AG7" si="3">IF(AF7="VOLUNTARIO",40%,IF(AF7="MANDATORIO",60%,IF(AF7="OBLIGATORIO",90%)))</f>
        <v>0.9</v>
      </c>
      <c r="AH7" s="58" t="s">
        <v>58</v>
      </c>
      <c r="AI7" s="62">
        <f t="shared" ref="AI7" si="4">IF(AH7="NO",40%,IF(AH7="SI",80%))</f>
        <v>0.4</v>
      </c>
      <c r="AJ7" s="63" t="s">
        <v>59</v>
      </c>
      <c r="AK7" s="58" t="s">
        <v>60</v>
      </c>
      <c r="AL7" s="62">
        <f t="shared" ref="AL7" si="5">IF(AK7="POR EVENTO O DIARIO",95%,IF(AK7="MENSUAL",80%,IF(AK7="BIMESTRAL",70%,IF(AK7="TRIMESTRAL",60%,IF(AK7="SEMESTRAL",40%,IF(AK7="ANUAL O BIANUAL",20%))))))</f>
        <v>0.8</v>
      </c>
      <c r="AM7" s="64">
        <f t="shared" ref="AM7:AM12" si="6">AVERAGE(AC7,AE7,AG7,AI7,AL7)</f>
        <v>0.68</v>
      </c>
      <c r="AN7" s="65"/>
      <c r="AO7" s="62" t="s">
        <v>61</v>
      </c>
      <c r="AP7" s="62">
        <v>0.8</v>
      </c>
      <c r="AQ7" s="66" t="s">
        <v>62</v>
      </c>
      <c r="AR7" s="120">
        <f>+AVERAGE(AC7:AC9,AE7:AE9,AG7:AG9,AI7:AI9,AL7:AL9,AP7:AP9)</f>
        <v>0.68750000000000022</v>
      </c>
      <c r="AS7" s="121"/>
      <c r="AT7" s="122" t="e">
        <f>(#REF!)-(#REF!*#REF!)</f>
        <v>#REF!</v>
      </c>
      <c r="AU7" s="99"/>
      <c r="AV7" s="99"/>
      <c r="AW7" s="99"/>
      <c r="AX7" s="99"/>
    </row>
    <row r="8" spans="1:55" s="67" customFormat="1" ht="45.6" hidden="1" customHeight="1">
      <c r="A8" s="57"/>
      <c r="B8" s="118"/>
      <c r="C8" s="119"/>
      <c r="D8" s="119"/>
      <c r="E8" s="118"/>
      <c r="F8" s="118"/>
      <c r="G8" s="115"/>
      <c r="H8" s="118"/>
      <c r="I8" s="118"/>
      <c r="J8" s="115"/>
      <c r="K8" s="109"/>
      <c r="L8" s="109"/>
      <c r="M8" s="115"/>
      <c r="N8" s="118"/>
      <c r="O8" s="118"/>
      <c r="P8" s="118"/>
      <c r="Q8" s="118"/>
      <c r="R8" s="118"/>
      <c r="S8" s="118"/>
      <c r="T8" s="118"/>
      <c r="U8" s="118"/>
      <c r="V8" s="118"/>
      <c r="W8" s="118"/>
      <c r="X8" s="118"/>
      <c r="Y8" s="121"/>
      <c r="Z8" s="57"/>
      <c r="AA8" s="59"/>
      <c r="AB8" s="58" t="s">
        <v>55</v>
      </c>
      <c r="AC8" s="62">
        <f>IF(AB8="PREVENTIVO",90%,IF(AB8="DETECTIVO",60%,IF(AB8="CORRECTIVO",30%)))</f>
        <v>0.9</v>
      </c>
      <c r="AD8" s="58" t="s">
        <v>56</v>
      </c>
      <c r="AE8" s="62">
        <f>IF(AD8="MANUAL",40%,IF(AD8="SEMI AUTOMÁTICA",60%,IF(AD8="AUTOMÁTICA",95%)))</f>
        <v>0.4</v>
      </c>
      <c r="AF8" s="58" t="s">
        <v>57</v>
      </c>
      <c r="AG8" s="62">
        <f>IF(AF8="VOLUNTARIO",40%,IF(AF8="MANDATORIO",60%,IF(AF8="OBLIGATORIO",90%)))</f>
        <v>0.9</v>
      </c>
      <c r="AH8" s="63" t="s">
        <v>58</v>
      </c>
      <c r="AI8" s="62">
        <f>IF(AH8="NO",40%,IF(AH8="SI",80%))</f>
        <v>0.4</v>
      </c>
      <c r="AJ8" s="63" t="s">
        <v>59</v>
      </c>
      <c r="AK8" s="58" t="s">
        <v>60</v>
      </c>
      <c r="AL8" s="62">
        <f>IF(AK8="POR EVENTO O DIARIO",95%,IF(AK8="MENSUAL",80%,IF(AK8="BIMESTRAL",70%,IF(AK8="TRIMESTRAL",60%,IF(AK8="SEMESTRAL",40%,IF(AK8="ANUAL O BIANUAL",20%))))))</f>
        <v>0.8</v>
      </c>
      <c r="AM8" s="64">
        <f t="shared" si="6"/>
        <v>0.68</v>
      </c>
      <c r="AN8" s="65"/>
      <c r="AO8" s="62"/>
      <c r="AP8" s="62"/>
      <c r="AQ8" s="66"/>
      <c r="AR8" s="120"/>
      <c r="AS8" s="121"/>
      <c r="AT8" s="122"/>
      <c r="AU8" s="100"/>
      <c r="AV8" s="100"/>
      <c r="AW8" s="100"/>
      <c r="AX8" s="100"/>
    </row>
    <row r="9" spans="1:55" s="67" customFormat="1" ht="36" hidden="1" customHeight="1">
      <c r="A9" s="80"/>
      <c r="B9" s="108"/>
      <c r="C9" s="111"/>
      <c r="D9" s="111"/>
      <c r="E9" s="108"/>
      <c r="F9" s="108"/>
      <c r="G9" s="115"/>
      <c r="H9" s="108"/>
      <c r="I9" s="108"/>
      <c r="J9" s="115"/>
      <c r="K9" s="109"/>
      <c r="L9" s="109"/>
      <c r="M9" s="115"/>
      <c r="N9" s="108"/>
      <c r="O9" s="108"/>
      <c r="P9" s="108"/>
      <c r="Q9" s="108"/>
      <c r="R9" s="108"/>
      <c r="S9" s="108"/>
      <c r="T9" s="108"/>
      <c r="U9" s="108"/>
      <c r="V9" s="108"/>
      <c r="W9" s="108"/>
      <c r="X9" s="108"/>
      <c r="Y9" s="96"/>
      <c r="Z9" s="80"/>
      <c r="AA9" s="76"/>
      <c r="AB9" s="71" t="s">
        <v>55</v>
      </c>
      <c r="AC9" s="72">
        <f>IF(AB9="PREVENTIVO",90%,IF(AB9="DETECTIVO",60%,IF(AB9="CORRECTIVO",30%)))</f>
        <v>0.9</v>
      </c>
      <c r="AD9" s="71" t="s">
        <v>56</v>
      </c>
      <c r="AE9" s="72">
        <f>IF(AD9="MANUAL",40%,IF(AD9="SEMI AUTOMÁTICA",60%,IF(AD9="AUTOMÁTICA",95%)))</f>
        <v>0.4</v>
      </c>
      <c r="AF9" s="71" t="s">
        <v>57</v>
      </c>
      <c r="AG9" s="72">
        <f>IF(AF9="VOLUNTARIO",40%,IF(AF9="MANDATORIO",60%,IF(AF9="OBLIGATORIO",90%)))</f>
        <v>0.9</v>
      </c>
      <c r="AH9" s="71" t="s">
        <v>58</v>
      </c>
      <c r="AI9" s="72">
        <f>IF(AH9="NO",40%,IF(AH9="SI",80%))</f>
        <v>0.4</v>
      </c>
      <c r="AJ9" s="81" t="s">
        <v>59</v>
      </c>
      <c r="AK9" s="71" t="s">
        <v>60</v>
      </c>
      <c r="AL9" s="72">
        <f>IF(AK9="POR EVENTO O DIARIO",95%,IF(AK9="MENSUAL",80%,IF(AK9="BIMESTRAL",70%,IF(AK9="TRIMESTRAL",60%,IF(AK9="SEMESTRAL",40%,IF(AK9="ANUAL O BIANUAL",20%))))))</f>
        <v>0.8</v>
      </c>
      <c r="AM9" s="73">
        <f t="shared" si="6"/>
        <v>0.68</v>
      </c>
      <c r="AN9" s="74"/>
      <c r="AO9" s="72"/>
      <c r="AP9" s="72"/>
      <c r="AQ9" s="77"/>
      <c r="AR9" s="93"/>
      <c r="AS9" s="96"/>
      <c r="AT9" s="99"/>
      <c r="AU9" s="100"/>
      <c r="AV9" s="100"/>
      <c r="AW9" s="100"/>
      <c r="AX9" s="100"/>
    </row>
    <row r="10" spans="1:55" s="67" customFormat="1" ht="78.95" customHeight="1">
      <c r="A10" s="80"/>
      <c r="B10" s="108" t="s">
        <v>63</v>
      </c>
      <c r="C10" s="111">
        <v>45638</v>
      </c>
      <c r="D10" s="111">
        <v>45770</v>
      </c>
      <c r="E10" s="108" t="s">
        <v>64</v>
      </c>
      <c r="F10" s="108" t="s">
        <v>65</v>
      </c>
      <c r="G10" s="109" t="s">
        <v>66</v>
      </c>
      <c r="H10" s="108" t="s">
        <v>67</v>
      </c>
      <c r="I10" s="108" t="s">
        <v>68</v>
      </c>
      <c r="J10" s="109" t="s">
        <v>69</v>
      </c>
      <c r="K10" s="109" t="s">
        <v>70</v>
      </c>
      <c r="L10" s="109" t="s">
        <v>71</v>
      </c>
      <c r="M10" s="109" t="s">
        <v>72</v>
      </c>
      <c r="N10" s="108" t="s">
        <v>73</v>
      </c>
      <c r="O10" s="108" t="s">
        <v>74</v>
      </c>
      <c r="P10" s="108" t="s">
        <v>75</v>
      </c>
      <c r="Q10" s="108" t="s">
        <v>76</v>
      </c>
      <c r="R10" s="108" t="s">
        <v>77</v>
      </c>
      <c r="S10" s="108" t="s">
        <v>78</v>
      </c>
      <c r="T10" s="108" t="s">
        <v>79</v>
      </c>
      <c r="U10" s="108">
        <f>IF(T10="Catastrófico",5,IF(T10="Mayor",4,IF(T10="Moderado",3,IF(T10="Menor",2,1))))</f>
        <v>4</v>
      </c>
      <c r="V10" s="108" t="s">
        <v>80</v>
      </c>
      <c r="W10" s="108">
        <f>IF(V10="Muy probable",5,IF(V10="Probable",4,IF(V10="Moderada",3,IF(V10="Baja",2,1))))</f>
        <v>1</v>
      </c>
      <c r="X10" s="108">
        <f>+W10*U10</f>
        <v>4</v>
      </c>
      <c r="Y10" s="96" t="s">
        <v>81</v>
      </c>
      <c r="Z10" s="80" t="s">
        <v>82</v>
      </c>
      <c r="AA10" s="76" t="s">
        <v>83</v>
      </c>
      <c r="AB10" s="71" t="s">
        <v>55</v>
      </c>
      <c r="AC10" s="62">
        <f>IF(AB10="PREVENTIVO",90%,IF(AB10="DETECTIVO",60%,IF(AB10="CORRECTIVO",30%)))</f>
        <v>0.9</v>
      </c>
      <c r="AD10" s="71" t="s">
        <v>56</v>
      </c>
      <c r="AE10" s="62">
        <f t="shared" ref="AE10:AE11" si="7">IF(AD10="MANUAL",40%,IF(AD10="SEMI AUTOMÁTICA",60%,IF(AD10="AUTOMÁTICA",95%)))</f>
        <v>0.4</v>
      </c>
      <c r="AF10" s="71" t="s">
        <v>57</v>
      </c>
      <c r="AG10" s="62">
        <f t="shared" ref="AG10:AG11" si="8">IF(AF10="VOLUNTARIO",40%,IF(AF10="MANDATORIO",60%,IF(AF10="OBLIGATORIO",90%)))</f>
        <v>0.9</v>
      </c>
      <c r="AH10" s="63" t="s">
        <v>84</v>
      </c>
      <c r="AI10" s="62">
        <f>IF(AH10="NO",40%,IF(AH10="SI",80%))</f>
        <v>0.8</v>
      </c>
      <c r="AJ10" s="81" t="s">
        <v>85</v>
      </c>
      <c r="AK10" s="71" t="s">
        <v>60</v>
      </c>
      <c r="AL10" s="62">
        <f t="shared" ref="AL10" si="9">IF(AK10="POR EVENTO O DIARIO",95%,IF(AK10="MENSUAL",80%,IF(AK10="BIMESTRAL",70%,IF(AK10="TRIMESTRAL",60%,IF(AK10="SEMESTRAL",40%,IF(AK10="ANUAL O BIANUAL",20%))))))</f>
        <v>0.8</v>
      </c>
      <c r="AM10" s="64">
        <f t="shared" si="6"/>
        <v>0.76</v>
      </c>
      <c r="AN10" s="74"/>
      <c r="AO10" s="72"/>
      <c r="AP10" s="72"/>
      <c r="AQ10" s="77"/>
      <c r="AR10" s="93">
        <f>+AVERAGE(AC7:AC12,AE7:AE12,AG7:AG12,AI7:AI12,AL7:AL12,AP7:AP12)</f>
        <v>0.68387096774193579</v>
      </c>
      <c r="AS10" s="96" t="s">
        <v>86</v>
      </c>
      <c r="AT10" s="99">
        <f>(X10)-(X10*AR12)</f>
        <v>4</v>
      </c>
      <c r="AU10" s="89"/>
      <c r="AV10" s="89"/>
      <c r="AW10" s="89"/>
      <c r="AX10" s="89"/>
    </row>
    <row r="11" spans="1:55" s="67" customFormat="1" ht="74.45" customHeight="1">
      <c r="A11" s="80"/>
      <c r="B11" s="109"/>
      <c r="C11" s="112"/>
      <c r="D11" s="112"/>
      <c r="E11" s="109"/>
      <c r="F11" s="109"/>
      <c r="G11" s="109"/>
      <c r="H11" s="109"/>
      <c r="I11" s="109"/>
      <c r="J11" s="109"/>
      <c r="K11" s="109"/>
      <c r="L11" s="109"/>
      <c r="M11" s="109"/>
      <c r="N11" s="109"/>
      <c r="O11" s="109"/>
      <c r="P11" s="109"/>
      <c r="Q11" s="109"/>
      <c r="R11" s="109"/>
      <c r="S11" s="109"/>
      <c r="T11" s="109"/>
      <c r="U11" s="109"/>
      <c r="V11" s="109"/>
      <c r="W11" s="109"/>
      <c r="X11" s="109"/>
      <c r="Y11" s="97"/>
      <c r="Z11" s="80" t="s">
        <v>87</v>
      </c>
      <c r="AA11" s="76" t="s">
        <v>88</v>
      </c>
      <c r="AB11" s="71" t="s">
        <v>55</v>
      </c>
      <c r="AC11" s="62">
        <f t="shared" ref="AC11" si="10">IF(AB11="PREVENTIVO",90%,IF(AB11="DETECTIVO",60%,IF(AB11="CORRECTIVO",30%)))</f>
        <v>0.9</v>
      </c>
      <c r="AD11" s="58" t="s">
        <v>89</v>
      </c>
      <c r="AE11" s="62">
        <f t="shared" si="7"/>
        <v>0.6</v>
      </c>
      <c r="AF11" s="71" t="s">
        <v>90</v>
      </c>
      <c r="AG11" s="62">
        <f t="shared" si="8"/>
        <v>0.4</v>
      </c>
      <c r="AH11" s="63" t="s">
        <v>58</v>
      </c>
      <c r="AI11" s="62">
        <f t="shared" ref="AI11" si="11">IF(AH11="NO",40%,IF(AH11="SI",80%))</f>
        <v>0.4</v>
      </c>
      <c r="AJ11" s="81" t="s">
        <v>65</v>
      </c>
      <c r="AK11" s="71" t="s">
        <v>60</v>
      </c>
      <c r="AL11" s="62">
        <f t="shared" ref="AL11:AL16" si="12">IF(AK11="POR EVENTO O DIARIO",95%,IF(AK11="MENSUAL",80%,IF(AK11="BIMESTRAL",70%,IF(AK11="TRIMESTRAL",60%,IF(AK11="SEMESTRAL",40%,IF(AK11="ANUAL O BIANUAL",20%))))))</f>
        <v>0.8</v>
      </c>
      <c r="AM11" s="64">
        <f>AVERAGE(AC11,AE11,AG11,AI11,AL11)</f>
        <v>0.61999999999999988</v>
      </c>
      <c r="AN11" s="74"/>
      <c r="AO11" s="72"/>
      <c r="AP11" s="72"/>
      <c r="AQ11" s="77"/>
      <c r="AR11" s="94"/>
      <c r="AS11" s="97"/>
      <c r="AT11" s="100"/>
      <c r="AU11" s="89"/>
      <c r="AV11" s="89"/>
      <c r="AW11" s="89"/>
      <c r="AX11" s="89"/>
    </row>
    <row r="12" spans="1:55" s="67" customFormat="1" ht="101.45" customHeight="1">
      <c r="A12" s="57"/>
      <c r="B12" s="110"/>
      <c r="C12" s="113"/>
      <c r="D12" s="113"/>
      <c r="E12" s="110"/>
      <c r="F12" s="110"/>
      <c r="G12" s="110"/>
      <c r="H12" s="110"/>
      <c r="I12" s="110"/>
      <c r="J12" s="110"/>
      <c r="K12" s="110"/>
      <c r="L12" s="110"/>
      <c r="M12" s="110"/>
      <c r="N12" s="110"/>
      <c r="O12" s="110"/>
      <c r="P12" s="110"/>
      <c r="Q12" s="110"/>
      <c r="R12" s="110"/>
      <c r="S12" s="110"/>
      <c r="T12" s="110"/>
      <c r="U12" s="110"/>
      <c r="V12" s="110"/>
      <c r="W12" s="110"/>
      <c r="X12" s="110"/>
      <c r="Y12" s="98"/>
      <c r="Z12" s="75" t="s">
        <v>91</v>
      </c>
      <c r="AA12" s="59" t="s">
        <v>92</v>
      </c>
      <c r="AB12" s="58" t="s">
        <v>55</v>
      </c>
      <c r="AC12" s="62">
        <f>IF(AB12="PREVENTIVO",90%,IF(AB12="DETECTIVO",60%,IF(AB12="CORRECTIVO",30%)))</f>
        <v>0.9</v>
      </c>
      <c r="AD12" s="58" t="s">
        <v>56</v>
      </c>
      <c r="AE12" s="62">
        <f>IF(AD12="MANUAL",40%,IF(AD12="SEMI AUTOMÁTICA",60%,IF(AD12="AUTOMÁTICA",95%)))</f>
        <v>0.4</v>
      </c>
      <c r="AF12" s="58" t="s">
        <v>90</v>
      </c>
      <c r="AG12" s="62">
        <f>IF(AF12="VOLUNTARIO",40%,IF(AF12="MANDATORIO",60%,IF(AF12="OBLIGATORIO",90%)))</f>
        <v>0.4</v>
      </c>
      <c r="AH12" s="63" t="s">
        <v>84</v>
      </c>
      <c r="AI12" s="62">
        <f>IF(AH12="NO",40%,IF(AH12="SI",80%))</f>
        <v>0.8</v>
      </c>
      <c r="AJ12" s="63" t="s">
        <v>93</v>
      </c>
      <c r="AK12" s="58" t="s">
        <v>60</v>
      </c>
      <c r="AL12" s="62">
        <f t="shared" si="12"/>
        <v>0.8</v>
      </c>
      <c r="AM12" s="64">
        <f t="shared" si="6"/>
        <v>0.65999999999999992</v>
      </c>
      <c r="AN12" s="65"/>
      <c r="AO12" s="62"/>
      <c r="AP12" s="62"/>
      <c r="AQ12" s="66"/>
      <c r="AR12" s="95"/>
      <c r="AS12" s="98"/>
      <c r="AT12" s="101"/>
      <c r="AU12" s="78"/>
      <c r="AV12" s="78"/>
      <c r="AW12" s="78"/>
      <c r="AX12" s="78"/>
    </row>
    <row r="13" spans="1:55" s="67" customFormat="1" ht="78" customHeight="1">
      <c r="A13" s="57"/>
      <c r="B13" s="108" t="s">
        <v>94</v>
      </c>
      <c r="C13" s="111">
        <v>45638</v>
      </c>
      <c r="D13" s="111">
        <v>45770</v>
      </c>
      <c r="E13" s="108" t="s">
        <v>64</v>
      </c>
      <c r="F13" s="108" t="s">
        <v>95</v>
      </c>
      <c r="G13" s="108" t="s">
        <v>96</v>
      </c>
      <c r="H13" s="108" t="s">
        <v>67</v>
      </c>
      <c r="I13" s="108" t="s">
        <v>68</v>
      </c>
      <c r="J13" s="108" t="s">
        <v>97</v>
      </c>
      <c r="K13" s="108" t="s">
        <v>70</v>
      </c>
      <c r="L13" s="108" t="s">
        <v>98</v>
      </c>
      <c r="M13" s="108" t="s">
        <v>99</v>
      </c>
      <c r="N13" s="108" t="s">
        <v>100</v>
      </c>
      <c r="O13" s="108" t="s">
        <v>101</v>
      </c>
      <c r="P13" s="114" t="s">
        <v>102</v>
      </c>
      <c r="Q13" s="108" t="s">
        <v>76</v>
      </c>
      <c r="R13" s="108" t="s">
        <v>103</v>
      </c>
      <c r="S13" s="108" t="s">
        <v>78</v>
      </c>
      <c r="T13" s="108" t="s">
        <v>79</v>
      </c>
      <c r="U13" s="108">
        <f>IF(T13="Catastrófico",5,IF(T13="Mayor",4,IF(T13="Moderado",3,IF(T13="Menor",2,1))))</f>
        <v>4</v>
      </c>
      <c r="V13" s="108" t="s">
        <v>104</v>
      </c>
      <c r="W13" s="108">
        <f>IF(V13="Muy probable",5,IF(V13="Probable",4,IF(V13="Moderada",3,IF(V13="Baja",2,1))))</f>
        <v>2</v>
      </c>
      <c r="X13" s="108">
        <f>+W13*U13</f>
        <v>8</v>
      </c>
      <c r="Y13" s="96" t="s">
        <v>105</v>
      </c>
      <c r="Z13" s="57" t="s">
        <v>106</v>
      </c>
      <c r="AA13" s="59" t="s">
        <v>83</v>
      </c>
      <c r="AB13" s="58" t="s">
        <v>107</v>
      </c>
      <c r="AC13" s="62">
        <f>IF(AB13="PREVENTIVO",90%,IF(AB13="DETECTIVO",60%,IF(AB13="CORRECTIVO",30%)))</f>
        <v>0.3</v>
      </c>
      <c r="AD13" s="58" t="s">
        <v>56</v>
      </c>
      <c r="AE13" s="62">
        <f>IF(AD13="MANUAL",40%,IF(AD13="SEMI AUTOMÁTICA",60%,IF(AD13="AUTOMÁTICA",95%)))</f>
        <v>0.4</v>
      </c>
      <c r="AF13" s="58" t="s">
        <v>57</v>
      </c>
      <c r="AG13" s="62">
        <f>IF(AF13="VOLUNTARIO",40%,IF(AF13="MANDATORIO",60%,IF(AF13="OBLIGATORIO",90%)))</f>
        <v>0.9</v>
      </c>
      <c r="AH13" s="63" t="s">
        <v>84</v>
      </c>
      <c r="AI13" s="62">
        <f>IF(AH13="NO",40%,IF(AH13="SI",80%))</f>
        <v>0.8</v>
      </c>
      <c r="AJ13" s="63" t="s">
        <v>108</v>
      </c>
      <c r="AK13" s="58" t="s">
        <v>60</v>
      </c>
      <c r="AL13" s="62">
        <f t="shared" si="12"/>
        <v>0.8</v>
      </c>
      <c r="AM13" s="64">
        <f>AVERAGE(AC13,AE13,AG13,AI13,AL13)</f>
        <v>0.64</v>
      </c>
      <c r="AN13" s="91"/>
      <c r="AO13" s="90"/>
      <c r="AP13" s="90"/>
      <c r="AQ13" s="82"/>
      <c r="AR13" s="93">
        <f>+AVERAGE(AC13:AC13,AE13:AE13,AG13:AG13,AI13:AI13,AL13:AL13,AP15:AP15)</f>
        <v>0.64</v>
      </c>
      <c r="AS13" s="96" t="s">
        <v>86</v>
      </c>
      <c r="AT13" s="99">
        <f>(X13)-(X13*AR13)</f>
        <v>2.88</v>
      </c>
      <c r="AU13" s="99"/>
      <c r="AV13" s="99"/>
      <c r="AW13" s="99"/>
      <c r="AX13" s="99"/>
    </row>
    <row r="14" spans="1:55" s="67" customFormat="1" ht="72" customHeight="1">
      <c r="A14" s="57"/>
      <c r="B14" s="109"/>
      <c r="C14" s="112"/>
      <c r="D14" s="112"/>
      <c r="E14" s="109"/>
      <c r="F14" s="109"/>
      <c r="G14" s="109"/>
      <c r="H14" s="109"/>
      <c r="I14" s="109"/>
      <c r="J14" s="109"/>
      <c r="K14" s="109"/>
      <c r="L14" s="109"/>
      <c r="M14" s="109"/>
      <c r="N14" s="109"/>
      <c r="O14" s="109"/>
      <c r="P14" s="115"/>
      <c r="Q14" s="109"/>
      <c r="R14" s="109"/>
      <c r="S14" s="109"/>
      <c r="T14" s="109"/>
      <c r="U14" s="109"/>
      <c r="V14" s="109"/>
      <c r="W14" s="109"/>
      <c r="X14" s="109"/>
      <c r="Y14" s="97"/>
      <c r="Z14" s="57" t="s">
        <v>109</v>
      </c>
      <c r="AA14" s="59" t="s">
        <v>92</v>
      </c>
      <c r="AB14" s="58" t="s">
        <v>55</v>
      </c>
      <c r="AC14" s="62">
        <f t="shared" ref="AC14" si="13">IF(AB14="PREVENTIVO",90%,IF(AB14="DETECTIVO",60%,IF(AB14="CORRECTIVO",30%)))</f>
        <v>0.9</v>
      </c>
      <c r="AD14" s="58" t="s">
        <v>89</v>
      </c>
      <c r="AE14" s="62">
        <f>IF(AD14="MANUAL",40%,IF(AD14="SEMI AUTOMÁTICA",60%,IF(AD14="AUTOMÁTICA",95%)))</f>
        <v>0.6</v>
      </c>
      <c r="AF14" s="58" t="s">
        <v>90</v>
      </c>
      <c r="AG14" s="62">
        <f>IF(AF14="VOLUNTARIO",40%,IF(AF14="MANDATORIO",60%,IF(AF14="OBLIGATORIO",90%)))</f>
        <v>0.4</v>
      </c>
      <c r="AH14" s="63" t="s">
        <v>58</v>
      </c>
      <c r="AI14" s="62">
        <f>IF(AH14="NO",40%,IF(AH14="SI",80%))</f>
        <v>0.4</v>
      </c>
      <c r="AJ14" s="63" t="s">
        <v>110</v>
      </c>
      <c r="AK14" s="58" t="s">
        <v>60</v>
      </c>
      <c r="AL14" s="62">
        <f t="shared" si="12"/>
        <v>0.8</v>
      </c>
      <c r="AM14" s="64">
        <f>AVERAGE(AC14,AE14,AG14,AI14,AL14)</f>
        <v>0.61999999999999988</v>
      </c>
      <c r="AN14" s="91"/>
      <c r="AO14" s="90"/>
      <c r="AP14" s="90"/>
      <c r="AQ14" s="82"/>
      <c r="AR14" s="94"/>
      <c r="AS14" s="97"/>
      <c r="AT14" s="100"/>
      <c r="AU14" s="100"/>
      <c r="AV14" s="100"/>
      <c r="AW14" s="100"/>
      <c r="AX14" s="100"/>
    </row>
    <row r="15" spans="1:55" s="67" customFormat="1" ht="77.45" customHeight="1">
      <c r="A15" s="57"/>
      <c r="B15" s="110"/>
      <c r="C15" s="113"/>
      <c r="D15" s="113"/>
      <c r="E15" s="110"/>
      <c r="F15" s="110"/>
      <c r="G15" s="110"/>
      <c r="H15" s="110"/>
      <c r="I15" s="110"/>
      <c r="J15" s="110"/>
      <c r="K15" s="110"/>
      <c r="L15" s="110"/>
      <c r="M15" s="110"/>
      <c r="N15" s="110"/>
      <c r="O15" s="110"/>
      <c r="P15" s="116"/>
      <c r="Q15" s="110"/>
      <c r="R15" s="110"/>
      <c r="S15" s="110"/>
      <c r="T15" s="110"/>
      <c r="U15" s="110"/>
      <c r="V15" s="110"/>
      <c r="W15" s="110"/>
      <c r="X15" s="110"/>
      <c r="Y15" s="98"/>
      <c r="Z15" s="57" t="s">
        <v>111</v>
      </c>
      <c r="AA15" s="59" t="s">
        <v>92</v>
      </c>
      <c r="AB15" s="58" t="s">
        <v>55</v>
      </c>
      <c r="AC15" s="62">
        <f>IF(AB15="PREVENTIVO",90%,IF(AB15="DETECTIVO",60%,IF(AB15="CORRECTIVO",30%)))</f>
        <v>0.9</v>
      </c>
      <c r="AD15" s="58" t="s">
        <v>56</v>
      </c>
      <c r="AE15" s="62">
        <f t="shared" ref="AE15" si="14">IF(AD15="MANUAL",40%,IF(AD15="SEMI AUTOMÁTICA",60%,IF(AD15="AUTOMÁTICA",95%)))</f>
        <v>0.4</v>
      </c>
      <c r="AF15" s="58" t="s">
        <v>90</v>
      </c>
      <c r="AG15" s="62">
        <f t="shared" ref="AG15" si="15">IF(AF15="VOLUNTARIO",40%,IF(AF15="MANDATORIO",60%,IF(AF15="OBLIGATORIO",90%)))</f>
        <v>0.4</v>
      </c>
      <c r="AH15" s="63" t="s">
        <v>84</v>
      </c>
      <c r="AI15" s="62">
        <f t="shared" ref="AI15" si="16">IF(AH15="NO",40%,IF(AH15="SI",80%))</f>
        <v>0.8</v>
      </c>
      <c r="AJ15" s="63" t="s">
        <v>93</v>
      </c>
      <c r="AK15" s="58" t="s">
        <v>60</v>
      </c>
      <c r="AL15" s="62">
        <f t="shared" si="12"/>
        <v>0.8</v>
      </c>
      <c r="AM15" s="64">
        <f>AVERAGE(AC15,AE15,AG15,AI15,AL15)</f>
        <v>0.65999999999999992</v>
      </c>
      <c r="AN15" s="91"/>
      <c r="AO15" s="90"/>
      <c r="AP15" s="90"/>
      <c r="AQ15" s="82"/>
      <c r="AR15" s="95"/>
      <c r="AS15" s="98"/>
      <c r="AT15" s="101"/>
      <c r="AU15" s="101"/>
      <c r="AV15" s="101"/>
      <c r="AW15" s="101"/>
      <c r="AX15" s="101"/>
    </row>
    <row r="16" spans="1:55" ht="18" customHeight="1">
      <c r="B16" s="108"/>
      <c r="C16" s="111"/>
      <c r="D16" s="111"/>
      <c r="E16" s="108"/>
      <c r="F16" s="108"/>
      <c r="G16" s="108"/>
      <c r="H16" s="108"/>
      <c r="I16" s="108"/>
      <c r="J16" s="108"/>
      <c r="K16" s="108"/>
      <c r="L16" s="108"/>
      <c r="M16" s="108"/>
      <c r="N16" s="108"/>
      <c r="O16" s="108"/>
      <c r="P16" s="108"/>
      <c r="Q16" s="108"/>
      <c r="R16" s="108"/>
      <c r="S16" s="108"/>
      <c r="T16" s="108"/>
      <c r="U16" s="108">
        <f>IF(T16="Catastrófico",5,IF(T16="Mayor",4,IF(T16="Moderado",3,IF(T16="Menor",2,1))))</f>
        <v>1</v>
      </c>
      <c r="V16" s="108"/>
      <c r="W16" s="108">
        <f>IF(V16="Muy probable",5,IF(V16="Probable",4,IF(V16="Moderada",3,IF(V16="Baja",2,1))))</f>
        <v>1</v>
      </c>
      <c r="X16" s="108">
        <f>+W16*U16</f>
        <v>1</v>
      </c>
      <c r="Y16" s="96" t="s">
        <v>112</v>
      </c>
      <c r="Z16" s="57"/>
      <c r="AA16" s="57"/>
      <c r="AB16" s="58"/>
      <c r="AC16" s="62" t="b">
        <f>IF(AB16="PREVENTIVO",90%,IF(AB16="DETECTIVO",60%,IF(AB16="CORRECTIVO",30%)))</f>
        <v>0</v>
      </c>
      <c r="AD16" s="58"/>
      <c r="AE16" s="62" t="b">
        <f>IF(AD16="MANUAL",40%,IF(AD16="SEMI AUTOMÁTICA",60%,IF(AD16="AUTOMÁTICA",95%)))</f>
        <v>0</v>
      </c>
      <c r="AF16" s="58"/>
      <c r="AG16" s="62" t="b">
        <f>IF(AF16="VOLUNTARIO",40%,IF(AF16="MANDATORIO",60%,IF(AF16="OBLIGATORIO",90%)))</f>
        <v>0</v>
      </c>
      <c r="AH16" s="63"/>
      <c r="AI16" s="62" t="b">
        <f>IF(AH16="NO",40%,IF(AH16="SI",80%))</f>
        <v>0</v>
      </c>
      <c r="AJ16" s="63"/>
      <c r="AK16" s="58"/>
      <c r="AL16" s="62" t="b">
        <f t="shared" si="12"/>
        <v>0</v>
      </c>
      <c r="AM16" s="64" t="e">
        <f>AVERAGE(AC16,AE16,AG16,AI16,AL16)</f>
        <v>#DIV/0!</v>
      </c>
      <c r="AN16" s="102"/>
      <c r="AO16" s="105"/>
      <c r="AP16" s="105"/>
      <c r="AQ16" s="108"/>
      <c r="AR16" s="93" t="e">
        <f>+AVERAGE(AC16:AC16,AE16:AE16,AG16:AG16,AI16:AI16,AL16:AL16,AP18:AP18)</f>
        <v>#DIV/0!</v>
      </c>
      <c r="AS16" s="96" t="s">
        <v>86</v>
      </c>
      <c r="AT16" s="99" t="e">
        <f>(X16)-(X16*AR16)</f>
        <v>#DIV/0!</v>
      </c>
      <c r="AU16" s="99"/>
      <c r="AV16" s="99"/>
      <c r="AW16" s="99"/>
      <c r="AX16" s="99"/>
    </row>
    <row r="17" spans="2:50" ht="18" customHeight="1">
      <c r="B17" s="109"/>
      <c r="C17" s="112"/>
      <c r="D17" s="112"/>
      <c r="E17" s="109"/>
      <c r="F17" s="109"/>
      <c r="G17" s="109"/>
      <c r="H17" s="109"/>
      <c r="I17" s="109"/>
      <c r="J17" s="109"/>
      <c r="K17" s="109"/>
      <c r="L17" s="109"/>
      <c r="M17" s="109"/>
      <c r="N17" s="109"/>
      <c r="O17" s="109"/>
      <c r="P17" s="109"/>
      <c r="Q17" s="109"/>
      <c r="R17" s="109"/>
      <c r="S17" s="109"/>
      <c r="T17" s="109"/>
      <c r="U17" s="109"/>
      <c r="V17" s="109"/>
      <c r="W17" s="109"/>
      <c r="X17" s="109"/>
      <c r="Y17" s="97"/>
      <c r="Z17" s="57"/>
      <c r="AA17" s="57"/>
      <c r="AB17" s="58"/>
      <c r="AC17" s="62" t="b">
        <f t="shared" ref="AC17:AC27" si="17">IF(AB17="PREVENTIVO",90%,IF(AB17="DETECTIVO",60%,IF(AB17="CORRECTIVO",30%)))</f>
        <v>0</v>
      </c>
      <c r="AD17" s="58"/>
      <c r="AE17" s="62" t="b">
        <f t="shared" ref="AE17:AE18" si="18">IF(AD17="MANUAL",40%,IF(AD17="SEMI AUTOMÁTICA",60%,IF(AD17="AUTOMÁTICA",95%)))</f>
        <v>0</v>
      </c>
      <c r="AF17" s="58"/>
      <c r="AG17" s="62" t="b">
        <f t="shared" ref="AG17:AG27" si="19">IF(AF17="VOLUNTARIO",40%,IF(AF17="MANDATORIO",60%,IF(AF17="OBLIGATORIO",90%)))</f>
        <v>0</v>
      </c>
      <c r="AH17" s="63"/>
      <c r="AI17" s="62" t="b">
        <f t="shared" ref="AI17:AI27" si="20">IF(AH17="NO",40%,IF(AH17="SI",80%))</f>
        <v>0</v>
      </c>
      <c r="AJ17" s="63"/>
      <c r="AK17" s="58"/>
      <c r="AL17" s="62" t="b">
        <f t="shared" ref="AL17:AL27" si="21">IF(AK17="POR EVENTO O DIARIO",95%,IF(AK17="MENSUAL",80%,IF(AK17="BIMESTRAL",70%,IF(AK17="TRIMESTRAL",60%,IF(AK17="SEMESTRAL",40%,IF(AK17="ANUAL O BIANUAL",20%))))))</f>
        <v>0</v>
      </c>
      <c r="AM17" s="64" t="e">
        <f t="shared" ref="AM17:AM27" si="22">AVERAGE(AC17,AE17,AG17,AI17,AL17)</f>
        <v>#DIV/0!</v>
      </c>
      <c r="AN17" s="103"/>
      <c r="AO17" s="106"/>
      <c r="AP17" s="106"/>
      <c r="AQ17" s="109"/>
      <c r="AR17" s="94"/>
      <c r="AS17" s="97"/>
      <c r="AT17" s="100"/>
      <c r="AU17" s="100"/>
      <c r="AV17" s="100"/>
      <c r="AW17" s="100"/>
      <c r="AX17" s="100"/>
    </row>
    <row r="18" spans="2:50" ht="28.5" customHeight="1">
      <c r="B18" s="110"/>
      <c r="C18" s="113"/>
      <c r="D18" s="113"/>
      <c r="E18" s="110"/>
      <c r="F18" s="110"/>
      <c r="G18" s="110"/>
      <c r="H18" s="110"/>
      <c r="I18" s="110"/>
      <c r="J18" s="110"/>
      <c r="K18" s="110"/>
      <c r="L18" s="110"/>
      <c r="M18" s="110"/>
      <c r="N18" s="110"/>
      <c r="O18" s="110"/>
      <c r="P18" s="110"/>
      <c r="Q18" s="110"/>
      <c r="R18" s="110"/>
      <c r="S18" s="110"/>
      <c r="T18" s="110"/>
      <c r="U18" s="110"/>
      <c r="V18" s="110"/>
      <c r="W18" s="110"/>
      <c r="X18" s="110"/>
      <c r="Y18" s="98"/>
      <c r="Z18" s="57"/>
      <c r="AA18" s="57"/>
      <c r="AB18" s="58"/>
      <c r="AC18" s="62" t="b">
        <f t="shared" si="17"/>
        <v>0</v>
      </c>
      <c r="AD18" s="58"/>
      <c r="AE18" s="62" t="b">
        <f t="shared" si="18"/>
        <v>0</v>
      </c>
      <c r="AF18" s="58"/>
      <c r="AG18" s="62" t="b">
        <f t="shared" si="19"/>
        <v>0</v>
      </c>
      <c r="AH18" s="63"/>
      <c r="AI18" s="62" t="b">
        <f t="shared" si="20"/>
        <v>0</v>
      </c>
      <c r="AJ18" s="63"/>
      <c r="AK18" s="58"/>
      <c r="AL18" s="62" t="b">
        <f t="shared" si="21"/>
        <v>0</v>
      </c>
      <c r="AM18" s="64" t="e">
        <f t="shared" si="22"/>
        <v>#DIV/0!</v>
      </c>
      <c r="AN18" s="104"/>
      <c r="AO18" s="107"/>
      <c r="AP18" s="107"/>
      <c r="AQ18" s="110"/>
      <c r="AR18" s="94"/>
      <c r="AS18" s="97"/>
      <c r="AT18" s="100"/>
      <c r="AU18" s="100"/>
      <c r="AV18" s="100"/>
      <c r="AW18" s="100"/>
      <c r="AX18" s="100"/>
    </row>
    <row r="19" spans="2:50">
      <c r="B19" s="108"/>
      <c r="C19" s="111"/>
      <c r="D19" s="111"/>
      <c r="E19" s="108"/>
      <c r="F19" s="108"/>
      <c r="G19" s="108"/>
      <c r="H19" s="108"/>
      <c r="I19" s="108"/>
      <c r="J19" s="108"/>
      <c r="K19" s="108"/>
      <c r="L19" s="108"/>
      <c r="M19" s="108"/>
      <c r="N19" s="108"/>
      <c r="O19" s="108"/>
      <c r="P19" s="108"/>
      <c r="Q19" s="108"/>
      <c r="R19" s="108"/>
      <c r="S19" s="108"/>
      <c r="T19" s="108"/>
      <c r="U19" s="108">
        <f>IF(T19="Catastrófico",5,IF(T19="Mayor",4,IF(T19="Moderado",3,IF(T19="Menor",2,1))))</f>
        <v>1</v>
      </c>
      <c r="V19" s="108"/>
      <c r="W19" s="108">
        <f>IF(V19="Muy probable",5,IF(V19="Probable",4,IF(V19="Moderada",3,IF(V19="Baja",2,1))))</f>
        <v>1</v>
      </c>
      <c r="X19" s="108">
        <f>+W19*U19</f>
        <v>1</v>
      </c>
      <c r="Y19" s="96" t="s">
        <v>112</v>
      </c>
      <c r="Z19" s="57"/>
      <c r="AA19" s="57"/>
      <c r="AB19" s="58"/>
      <c r="AC19" s="62" t="b">
        <f t="shared" si="17"/>
        <v>0</v>
      </c>
      <c r="AD19" s="58"/>
      <c r="AE19" s="62" t="b">
        <f>IF(AD19="MANUAL",40%,IF(AD19="SEMI AUTOMÁTICA",60%,IF(AD19="AUTOMÁTICA",95%)))</f>
        <v>0</v>
      </c>
      <c r="AF19" s="58"/>
      <c r="AG19" s="62" t="b">
        <f t="shared" si="19"/>
        <v>0</v>
      </c>
      <c r="AH19" s="63"/>
      <c r="AI19" s="62" t="b">
        <f t="shared" si="20"/>
        <v>0</v>
      </c>
      <c r="AJ19" s="63"/>
      <c r="AK19" s="58"/>
      <c r="AL19" s="62" t="b">
        <f t="shared" si="21"/>
        <v>0</v>
      </c>
      <c r="AM19" s="64" t="e">
        <f t="shared" si="22"/>
        <v>#DIV/0!</v>
      </c>
      <c r="AN19" s="102"/>
      <c r="AO19" s="105"/>
      <c r="AP19" s="105"/>
      <c r="AQ19" s="108"/>
      <c r="AR19" s="94"/>
      <c r="AS19" s="97"/>
      <c r="AT19" s="100"/>
      <c r="AU19" s="100"/>
      <c r="AV19" s="100"/>
      <c r="AW19" s="100"/>
      <c r="AX19" s="100"/>
    </row>
    <row r="20" spans="2:50">
      <c r="B20" s="109"/>
      <c r="C20" s="112"/>
      <c r="D20" s="112"/>
      <c r="E20" s="109"/>
      <c r="F20" s="109"/>
      <c r="G20" s="109"/>
      <c r="H20" s="109"/>
      <c r="I20" s="109"/>
      <c r="J20" s="109"/>
      <c r="K20" s="109"/>
      <c r="L20" s="109"/>
      <c r="M20" s="109"/>
      <c r="N20" s="109"/>
      <c r="O20" s="109"/>
      <c r="P20" s="109"/>
      <c r="Q20" s="109"/>
      <c r="R20" s="109"/>
      <c r="S20" s="109"/>
      <c r="T20" s="109"/>
      <c r="U20" s="109"/>
      <c r="V20" s="109"/>
      <c r="W20" s="109"/>
      <c r="X20" s="109"/>
      <c r="Y20" s="97"/>
      <c r="Z20" s="57"/>
      <c r="AA20" s="57"/>
      <c r="AB20" s="58"/>
      <c r="AC20" s="62" t="b">
        <f t="shared" si="17"/>
        <v>0</v>
      </c>
      <c r="AD20" s="58"/>
      <c r="AE20" s="62" t="b">
        <f t="shared" ref="AE20:AE21" si="23">IF(AD20="MANUAL",40%,IF(AD20="SEMI AUTOMÁTICA",60%,IF(AD20="AUTOMÁTICA",95%)))</f>
        <v>0</v>
      </c>
      <c r="AF20" s="58"/>
      <c r="AG20" s="62" t="b">
        <f t="shared" si="19"/>
        <v>0</v>
      </c>
      <c r="AH20" s="63"/>
      <c r="AI20" s="62" t="b">
        <f t="shared" si="20"/>
        <v>0</v>
      </c>
      <c r="AJ20" s="63"/>
      <c r="AK20" s="58"/>
      <c r="AL20" s="62" t="b">
        <f t="shared" si="21"/>
        <v>0</v>
      </c>
      <c r="AM20" s="64" t="e">
        <f t="shared" si="22"/>
        <v>#DIV/0!</v>
      </c>
      <c r="AN20" s="103"/>
      <c r="AO20" s="106"/>
      <c r="AP20" s="106"/>
      <c r="AQ20" s="109"/>
      <c r="AR20" s="94"/>
      <c r="AS20" s="97"/>
      <c r="AT20" s="100"/>
      <c r="AU20" s="100"/>
      <c r="AV20" s="100"/>
      <c r="AW20" s="100"/>
      <c r="AX20" s="100"/>
    </row>
    <row r="21" spans="2:50">
      <c r="B21" s="110"/>
      <c r="C21" s="113"/>
      <c r="D21" s="113"/>
      <c r="E21" s="110"/>
      <c r="F21" s="110"/>
      <c r="G21" s="110"/>
      <c r="H21" s="110"/>
      <c r="I21" s="110"/>
      <c r="J21" s="110"/>
      <c r="K21" s="110"/>
      <c r="L21" s="110"/>
      <c r="M21" s="110"/>
      <c r="N21" s="110"/>
      <c r="O21" s="110"/>
      <c r="P21" s="110"/>
      <c r="Q21" s="110"/>
      <c r="R21" s="110"/>
      <c r="S21" s="110"/>
      <c r="T21" s="110"/>
      <c r="U21" s="110"/>
      <c r="V21" s="110"/>
      <c r="W21" s="110"/>
      <c r="X21" s="110"/>
      <c r="Y21" s="98"/>
      <c r="Z21" s="57"/>
      <c r="AA21" s="57"/>
      <c r="AB21" s="58"/>
      <c r="AC21" s="62" t="b">
        <f t="shared" si="17"/>
        <v>0</v>
      </c>
      <c r="AD21" s="58"/>
      <c r="AE21" s="62" t="b">
        <f t="shared" si="23"/>
        <v>0</v>
      </c>
      <c r="AF21" s="58"/>
      <c r="AG21" s="62" t="b">
        <f t="shared" si="19"/>
        <v>0</v>
      </c>
      <c r="AH21" s="63"/>
      <c r="AI21" s="62" t="b">
        <f t="shared" si="20"/>
        <v>0</v>
      </c>
      <c r="AJ21" s="63"/>
      <c r="AK21" s="58"/>
      <c r="AL21" s="62" t="b">
        <f t="shared" si="21"/>
        <v>0</v>
      </c>
      <c r="AM21" s="64" t="e">
        <f t="shared" si="22"/>
        <v>#DIV/0!</v>
      </c>
      <c r="AN21" s="104"/>
      <c r="AO21" s="107"/>
      <c r="AP21" s="107"/>
      <c r="AQ21" s="110"/>
      <c r="AR21" s="94"/>
      <c r="AS21" s="97"/>
      <c r="AT21" s="100"/>
      <c r="AU21" s="100"/>
      <c r="AV21" s="100"/>
      <c r="AW21" s="100"/>
      <c r="AX21" s="100"/>
    </row>
    <row r="22" spans="2:50">
      <c r="B22" s="108"/>
      <c r="C22" s="111"/>
      <c r="D22" s="111"/>
      <c r="E22" s="108"/>
      <c r="F22" s="108"/>
      <c r="G22" s="108"/>
      <c r="H22" s="108"/>
      <c r="I22" s="108"/>
      <c r="J22" s="108"/>
      <c r="K22" s="108"/>
      <c r="L22" s="108"/>
      <c r="M22" s="108"/>
      <c r="N22" s="108"/>
      <c r="O22" s="108"/>
      <c r="P22" s="108"/>
      <c r="Q22" s="108"/>
      <c r="R22" s="108"/>
      <c r="S22" s="108"/>
      <c r="T22" s="108"/>
      <c r="U22" s="108">
        <f t="shared" ref="U22" si="24">IF(T22="Catastrófico",5,IF(T22="Mayor",4,IF(T22="Moderado",3,IF(T22="Menor",2,1))))</f>
        <v>1</v>
      </c>
      <c r="V22" s="108"/>
      <c r="W22" s="108">
        <f t="shared" ref="W22" si="25">IF(V22="Muy probable",5,IF(V22="Probable",4,IF(V22="Moderada",3,IF(V22="Baja",2,1))))</f>
        <v>1</v>
      </c>
      <c r="X22" s="108">
        <f t="shared" ref="X22" si="26">+W22*U22</f>
        <v>1</v>
      </c>
      <c r="Y22" s="96" t="s">
        <v>112</v>
      </c>
      <c r="Z22" s="57"/>
      <c r="AA22" s="57"/>
      <c r="AB22" s="58"/>
      <c r="AC22" s="62" t="b">
        <f t="shared" si="17"/>
        <v>0</v>
      </c>
      <c r="AD22" s="58"/>
      <c r="AE22" s="62" t="b">
        <f t="shared" ref="AE22:AE24" si="27">IF(AD22="MANUAL",40%,IF(AD22="SEMI AUTOMÁTICA",60%,IF(AD22="AUTOMÁTICA",95%)))</f>
        <v>0</v>
      </c>
      <c r="AF22" s="58"/>
      <c r="AG22" s="62" t="b">
        <f t="shared" si="19"/>
        <v>0</v>
      </c>
      <c r="AH22" s="63"/>
      <c r="AI22" s="62" t="b">
        <f t="shared" si="20"/>
        <v>0</v>
      </c>
      <c r="AJ22" s="63"/>
      <c r="AK22" s="58"/>
      <c r="AL22" s="62" t="b">
        <f t="shared" si="21"/>
        <v>0</v>
      </c>
      <c r="AM22" s="64" t="e">
        <f t="shared" si="22"/>
        <v>#DIV/0!</v>
      </c>
      <c r="AN22" s="102"/>
      <c r="AO22" s="105"/>
      <c r="AP22" s="105"/>
      <c r="AQ22" s="108"/>
      <c r="AR22" s="94"/>
      <c r="AS22" s="97"/>
      <c r="AT22" s="100"/>
      <c r="AU22" s="100"/>
      <c r="AV22" s="100"/>
      <c r="AW22" s="100"/>
      <c r="AX22" s="100"/>
    </row>
    <row r="23" spans="2:50">
      <c r="B23" s="109"/>
      <c r="C23" s="112"/>
      <c r="D23" s="112"/>
      <c r="E23" s="109"/>
      <c r="F23" s="109"/>
      <c r="G23" s="109"/>
      <c r="H23" s="109"/>
      <c r="I23" s="109"/>
      <c r="J23" s="109"/>
      <c r="K23" s="109"/>
      <c r="L23" s="109"/>
      <c r="M23" s="109"/>
      <c r="N23" s="109"/>
      <c r="O23" s="109"/>
      <c r="P23" s="109"/>
      <c r="Q23" s="109"/>
      <c r="R23" s="109"/>
      <c r="S23" s="109"/>
      <c r="T23" s="109"/>
      <c r="U23" s="109"/>
      <c r="V23" s="109"/>
      <c r="W23" s="109"/>
      <c r="X23" s="109"/>
      <c r="Y23" s="97"/>
      <c r="Z23" s="57"/>
      <c r="AA23" s="57"/>
      <c r="AB23" s="58"/>
      <c r="AC23" s="62" t="b">
        <f t="shared" si="17"/>
        <v>0</v>
      </c>
      <c r="AD23" s="58"/>
      <c r="AE23" s="62" t="b">
        <f>IF(AD23="MANUAL",40%,IF(AD23="SEMI AUTOMÁTICA",60%,IF(AD23="AUTOMÁTICA",95%)))</f>
        <v>0</v>
      </c>
      <c r="AF23" s="58"/>
      <c r="AG23" s="62" t="b">
        <f t="shared" si="19"/>
        <v>0</v>
      </c>
      <c r="AH23" s="63"/>
      <c r="AI23" s="62" t="b">
        <f t="shared" si="20"/>
        <v>0</v>
      </c>
      <c r="AJ23" s="63"/>
      <c r="AK23" s="58"/>
      <c r="AL23" s="62" t="b">
        <f t="shared" si="21"/>
        <v>0</v>
      </c>
      <c r="AM23" s="64" t="e">
        <f t="shared" si="22"/>
        <v>#DIV/0!</v>
      </c>
      <c r="AN23" s="103"/>
      <c r="AO23" s="106"/>
      <c r="AP23" s="106"/>
      <c r="AQ23" s="109"/>
      <c r="AR23" s="94"/>
      <c r="AS23" s="97"/>
      <c r="AT23" s="100"/>
      <c r="AU23" s="100"/>
      <c r="AV23" s="100"/>
      <c r="AW23" s="100"/>
      <c r="AX23" s="100"/>
    </row>
    <row r="24" spans="2:50">
      <c r="B24" s="110"/>
      <c r="C24" s="113"/>
      <c r="D24" s="113"/>
      <c r="E24" s="110"/>
      <c r="F24" s="110"/>
      <c r="G24" s="110"/>
      <c r="H24" s="110"/>
      <c r="I24" s="110"/>
      <c r="J24" s="110"/>
      <c r="K24" s="110"/>
      <c r="L24" s="110"/>
      <c r="M24" s="110"/>
      <c r="N24" s="110"/>
      <c r="O24" s="110"/>
      <c r="P24" s="110"/>
      <c r="Q24" s="110"/>
      <c r="R24" s="110"/>
      <c r="S24" s="110"/>
      <c r="T24" s="110"/>
      <c r="U24" s="110"/>
      <c r="V24" s="110"/>
      <c r="W24" s="110"/>
      <c r="X24" s="110"/>
      <c r="Y24" s="98"/>
      <c r="Z24" s="57"/>
      <c r="AA24" s="57"/>
      <c r="AB24" s="58"/>
      <c r="AC24" s="62" t="b">
        <f t="shared" si="17"/>
        <v>0</v>
      </c>
      <c r="AD24" s="58"/>
      <c r="AE24" s="62" t="b">
        <f t="shared" si="27"/>
        <v>0</v>
      </c>
      <c r="AF24" s="58"/>
      <c r="AG24" s="62" t="b">
        <f t="shared" si="19"/>
        <v>0</v>
      </c>
      <c r="AH24" s="63"/>
      <c r="AI24" s="62" t="b">
        <f t="shared" si="20"/>
        <v>0</v>
      </c>
      <c r="AJ24" s="63"/>
      <c r="AK24" s="58"/>
      <c r="AL24" s="62" t="b">
        <f t="shared" si="21"/>
        <v>0</v>
      </c>
      <c r="AM24" s="64" t="e">
        <f t="shared" si="22"/>
        <v>#DIV/0!</v>
      </c>
      <c r="AN24" s="104"/>
      <c r="AO24" s="107"/>
      <c r="AP24" s="107"/>
      <c r="AQ24" s="110"/>
      <c r="AR24" s="94"/>
      <c r="AS24" s="97"/>
      <c r="AT24" s="100"/>
      <c r="AU24" s="100"/>
      <c r="AV24" s="100"/>
      <c r="AW24" s="100"/>
      <c r="AX24" s="100"/>
    </row>
    <row r="25" spans="2:50">
      <c r="B25" s="108"/>
      <c r="C25" s="111"/>
      <c r="D25" s="111"/>
      <c r="E25" s="108"/>
      <c r="F25" s="108"/>
      <c r="G25" s="108"/>
      <c r="H25" s="108"/>
      <c r="I25" s="108"/>
      <c r="J25" s="108"/>
      <c r="K25" s="108"/>
      <c r="L25" s="108"/>
      <c r="M25" s="108"/>
      <c r="N25" s="108"/>
      <c r="O25" s="108"/>
      <c r="P25" s="108"/>
      <c r="Q25" s="108"/>
      <c r="R25" s="108"/>
      <c r="S25" s="108"/>
      <c r="T25" s="108"/>
      <c r="U25" s="108">
        <f t="shared" ref="U25" si="28">IF(T25="Catastrófico",5,IF(T25="Mayor",4,IF(T25="Moderado",3,IF(T25="Menor",2,1))))</f>
        <v>1</v>
      </c>
      <c r="V25" s="108"/>
      <c r="W25" s="108">
        <f t="shared" ref="W25" si="29">IF(V25="Muy probable",5,IF(V25="Probable",4,IF(V25="Moderada",3,IF(V25="Baja",2,1))))</f>
        <v>1</v>
      </c>
      <c r="X25" s="108">
        <f t="shared" ref="X25" si="30">+W25*U25</f>
        <v>1</v>
      </c>
      <c r="Y25" s="96" t="s">
        <v>112</v>
      </c>
      <c r="Z25" s="57"/>
      <c r="AA25" s="57"/>
      <c r="AB25" s="58"/>
      <c r="AC25" s="62" t="b">
        <f t="shared" si="17"/>
        <v>0</v>
      </c>
      <c r="AD25" s="58"/>
      <c r="AE25" s="62" t="b">
        <f t="shared" ref="AE25:AE27" si="31">IF(AD25="MANUAL",40%,IF(AD25="SEMI AUTOMÁTICA",60%,IF(AD25="AUTOMÁTICA",95%)))</f>
        <v>0</v>
      </c>
      <c r="AF25" s="58"/>
      <c r="AG25" s="62" t="b">
        <f t="shared" si="19"/>
        <v>0</v>
      </c>
      <c r="AH25" s="63"/>
      <c r="AI25" s="62" t="b">
        <f t="shared" si="20"/>
        <v>0</v>
      </c>
      <c r="AJ25" s="63"/>
      <c r="AK25" s="58"/>
      <c r="AL25" s="62" t="b">
        <f t="shared" si="21"/>
        <v>0</v>
      </c>
      <c r="AM25" s="64" t="e">
        <f t="shared" si="22"/>
        <v>#DIV/0!</v>
      </c>
      <c r="AN25" s="102"/>
      <c r="AO25" s="105"/>
      <c r="AP25" s="105"/>
      <c r="AQ25" s="108"/>
      <c r="AR25" s="94"/>
      <c r="AS25" s="97"/>
      <c r="AT25" s="100"/>
      <c r="AU25" s="100"/>
      <c r="AV25" s="100"/>
      <c r="AW25" s="100"/>
      <c r="AX25" s="100"/>
    </row>
    <row r="26" spans="2:50">
      <c r="B26" s="109"/>
      <c r="C26" s="112"/>
      <c r="D26" s="112"/>
      <c r="E26" s="109"/>
      <c r="F26" s="109"/>
      <c r="G26" s="109"/>
      <c r="H26" s="109"/>
      <c r="I26" s="109"/>
      <c r="J26" s="109"/>
      <c r="K26" s="109"/>
      <c r="L26" s="109"/>
      <c r="M26" s="109"/>
      <c r="N26" s="109"/>
      <c r="O26" s="109"/>
      <c r="P26" s="109"/>
      <c r="Q26" s="109"/>
      <c r="R26" s="109"/>
      <c r="S26" s="109"/>
      <c r="T26" s="109"/>
      <c r="U26" s="109"/>
      <c r="V26" s="109"/>
      <c r="W26" s="109"/>
      <c r="X26" s="109"/>
      <c r="Y26" s="97"/>
      <c r="Z26" s="57"/>
      <c r="AA26" s="57"/>
      <c r="AB26" s="58"/>
      <c r="AC26" s="62" t="b">
        <f t="shared" si="17"/>
        <v>0</v>
      </c>
      <c r="AD26" s="58"/>
      <c r="AE26" s="62" t="b">
        <f t="shared" si="31"/>
        <v>0</v>
      </c>
      <c r="AF26" s="58"/>
      <c r="AG26" s="62" t="b">
        <f t="shared" si="19"/>
        <v>0</v>
      </c>
      <c r="AH26" s="63"/>
      <c r="AI26" s="62" t="b">
        <f t="shared" si="20"/>
        <v>0</v>
      </c>
      <c r="AJ26" s="63"/>
      <c r="AK26" s="58"/>
      <c r="AL26" s="62" t="b">
        <f t="shared" si="21"/>
        <v>0</v>
      </c>
      <c r="AM26" s="64" t="e">
        <f t="shared" si="22"/>
        <v>#DIV/0!</v>
      </c>
      <c r="AN26" s="103"/>
      <c r="AO26" s="106"/>
      <c r="AP26" s="106"/>
      <c r="AQ26" s="109"/>
      <c r="AR26" s="94"/>
      <c r="AS26" s="97"/>
      <c r="AT26" s="100"/>
      <c r="AU26" s="100"/>
      <c r="AV26" s="100"/>
      <c r="AW26" s="100"/>
      <c r="AX26" s="100"/>
    </row>
    <row r="27" spans="2:50">
      <c r="B27" s="110"/>
      <c r="C27" s="113"/>
      <c r="D27" s="113"/>
      <c r="E27" s="110"/>
      <c r="F27" s="110"/>
      <c r="G27" s="110"/>
      <c r="H27" s="110"/>
      <c r="I27" s="110"/>
      <c r="J27" s="110"/>
      <c r="K27" s="110"/>
      <c r="L27" s="110"/>
      <c r="M27" s="110"/>
      <c r="N27" s="110"/>
      <c r="O27" s="110"/>
      <c r="P27" s="110"/>
      <c r="Q27" s="110"/>
      <c r="R27" s="110"/>
      <c r="S27" s="110"/>
      <c r="T27" s="110"/>
      <c r="U27" s="110"/>
      <c r="V27" s="110"/>
      <c r="W27" s="110"/>
      <c r="X27" s="110"/>
      <c r="Y27" s="98"/>
      <c r="Z27" s="57"/>
      <c r="AA27" s="57"/>
      <c r="AB27" s="58"/>
      <c r="AC27" s="62" t="b">
        <f t="shared" si="17"/>
        <v>0</v>
      </c>
      <c r="AD27" s="58"/>
      <c r="AE27" s="62" t="b">
        <f t="shared" si="31"/>
        <v>0</v>
      </c>
      <c r="AF27" s="58"/>
      <c r="AG27" s="62" t="b">
        <f t="shared" si="19"/>
        <v>0</v>
      </c>
      <c r="AH27" s="63"/>
      <c r="AI27" s="62" t="b">
        <f t="shared" si="20"/>
        <v>0</v>
      </c>
      <c r="AJ27" s="63"/>
      <c r="AK27" s="58"/>
      <c r="AL27" s="62" t="b">
        <f t="shared" si="21"/>
        <v>0</v>
      </c>
      <c r="AM27" s="64" t="e">
        <f t="shared" si="22"/>
        <v>#DIV/0!</v>
      </c>
      <c r="AN27" s="104"/>
      <c r="AO27" s="107"/>
      <c r="AP27" s="107"/>
      <c r="AQ27" s="110"/>
      <c r="AR27" s="95"/>
      <c r="AS27" s="98"/>
      <c r="AT27" s="101"/>
      <c r="AU27" s="101"/>
      <c r="AV27" s="101"/>
      <c r="AW27" s="101"/>
      <c r="AX27" s="101"/>
    </row>
    <row r="28" spans="2:50">
      <c r="B28" s="108"/>
      <c r="C28" s="111"/>
      <c r="D28" s="111"/>
      <c r="E28" s="108"/>
      <c r="F28" s="108"/>
      <c r="G28" s="108"/>
      <c r="H28" s="108"/>
      <c r="I28" s="108"/>
      <c r="J28" s="108"/>
      <c r="K28" s="108"/>
      <c r="L28" s="108"/>
      <c r="M28" s="108"/>
      <c r="N28" s="108"/>
      <c r="O28" s="108"/>
      <c r="P28" s="108"/>
      <c r="Q28" s="108"/>
      <c r="R28" s="108"/>
      <c r="S28" s="108"/>
      <c r="T28" s="108"/>
      <c r="U28" s="108">
        <f t="shared" ref="U28" si="32">IF(T28="Catastrófico",5,IF(T28="Mayor",4,IF(T28="Moderado",3,IF(T28="Menor",2,1))))</f>
        <v>1</v>
      </c>
      <c r="V28" s="108"/>
      <c r="W28" s="108">
        <f t="shared" ref="W28" si="33">IF(V28="Muy probable",5,IF(V28="Probable",4,IF(V28="Moderada",3,IF(V28="Baja",2,1))))</f>
        <v>1</v>
      </c>
      <c r="X28" s="108">
        <f t="shared" ref="X28" si="34">+W28*U28</f>
        <v>1</v>
      </c>
      <c r="Y28" s="96" t="s">
        <v>112</v>
      </c>
      <c r="Z28" s="57"/>
      <c r="AA28" s="57"/>
      <c r="AB28" s="58"/>
      <c r="AC28" s="62" t="b">
        <f t="shared" ref="AC28:AC30" si="35">IF(AB28="PREVENTIVO",90%,IF(AB28="DETECTIVO",60%,IF(AB28="CORRECTIVO",30%)))</f>
        <v>0</v>
      </c>
      <c r="AD28" s="58"/>
      <c r="AE28" s="62" t="b">
        <f t="shared" ref="AE28:AE30" si="36">IF(AD28="MANUAL",40%,IF(AD28="SEMI AUTOMÁTICA",60%,IF(AD28="AUTOMÁTICA",95%)))</f>
        <v>0</v>
      </c>
      <c r="AF28" s="58"/>
      <c r="AG28" s="62" t="b">
        <f t="shared" ref="AG28:AG30" si="37">IF(AF28="VOLUNTARIO",40%,IF(AF28="MANDATORIO",60%,IF(AF28="OBLIGATORIO",90%)))</f>
        <v>0</v>
      </c>
      <c r="AH28" s="63"/>
      <c r="AI28" s="62" t="b">
        <f t="shared" ref="AI28:AI30" si="38">IF(AH28="NO",40%,IF(AH28="SI",80%))</f>
        <v>0</v>
      </c>
      <c r="AJ28" s="63"/>
      <c r="AK28" s="58"/>
      <c r="AL28" s="62" t="b">
        <f t="shared" ref="AL28:AL30" si="39">IF(AK28="POR EVENTO O DIARIO",95%,IF(AK28="MENSUAL",80%,IF(AK28="BIMESTRAL",70%,IF(AK28="TRIMESTRAL",60%,IF(AK28="SEMESTRAL",40%,IF(AK28="ANUAL O BIANUAL",20%))))))</f>
        <v>0</v>
      </c>
      <c r="AM28" s="64" t="e">
        <f t="shared" ref="AM28:AM30" si="40">AVERAGE(AC28,AE28,AG28,AI28,AL28)</f>
        <v>#DIV/0!</v>
      </c>
      <c r="AN28" s="102"/>
      <c r="AO28" s="105"/>
      <c r="AP28" s="105"/>
      <c r="AQ28" s="108"/>
    </row>
    <row r="29" spans="2:50">
      <c r="B29" s="109"/>
      <c r="C29" s="112"/>
      <c r="D29" s="112"/>
      <c r="E29" s="109"/>
      <c r="F29" s="109"/>
      <c r="G29" s="109"/>
      <c r="H29" s="109"/>
      <c r="I29" s="109"/>
      <c r="J29" s="109"/>
      <c r="K29" s="109"/>
      <c r="L29" s="109"/>
      <c r="M29" s="109"/>
      <c r="N29" s="109"/>
      <c r="O29" s="109"/>
      <c r="P29" s="109"/>
      <c r="Q29" s="109"/>
      <c r="R29" s="109"/>
      <c r="S29" s="109"/>
      <c r="T29" s="109"/>
      <c r="U29" s="109"/>
      <c r="V29" s="109"/>
      <c r="W29" s="109"/>
      <c r="X29" s="109"/>
      <c r="Y29" s="97"/>
      <c r="Z29" s="57"/>
      <c r="AA29" s="57"/>
      <c r="AB29" s="58"/>
      <c r="AC29" s="62" t="b">
        <f t="shared" si="35"/>
        <v>0</v>
      </c>
      <c r="AD29" s="58"/>
      <c r="AE29" s="62" t="b">
        <f t="shared" si="36"/>
        <v>0</v>
      </c>
      <c r="AF29" s="58"/>
      <c r="AG29" s="62" t="b">
        <f t="shared" si="37"/>
        <v>0</v>
      </c>
      <c r="AH29" s="63"/>
      <c r="AI29" s="62" t="b">
        <f t="shared" si="38"/>
        <v>0</v>
      </c>
      <c r="AJ29" s="63"/>
      <c r="AK29" s="58"/>
      <c r="AL29" s="62" t="b">
        <f t="shared" si="39"/>
        <v>0</v>
      </c>
      <c r="AM29" s="64" t="e">
        <f t="shared" si="40"/>
        <v>#DIV/0!</v>
      </c>
      <c r="AN29" s="103"/>
      <c r="AO29" s="106"/>
      <c r="AP29" s="106"/>
      <c r="AQ29" s="109"/>
    </row>
    <row r="30" spans="2:50">
      <c r="B30" s="110"/>
      <c r="C30" s="113"/>
      <c r="D30" s="113"/>
      <c r="E30" s="110"/>
      <c r="F30" s="110"/>
      <c r="G30" s="110"/>
      <c r="H30" s="110"/>
      <c r="I30" s="110"/>
      <c r="J30" s="110"/>
      <c r="K30" s="110"/>
      <c r="L30" s="110"/>
      <c r="M30" s="110"/>
      <c r="N30" s="110"/>
      <c r="O30" s="110"/>
      <c r="P30" s="110"/>
      <c r="Q30" s="110"/>
      <c r="R30" s="110"/>
      <c r="S30" s="110"/>
      <c r="T30" s="110"/>
      <c r="U30" s="110"/>
      <c r="V30" s="110"/>
      <c r="W30" s="110"/>
      <c r="X30" s="110"/>
      <c r="Y30" s="98"/>
      <c r="Z30" s="57"/>
      <c r="AA30" s="57"/>
      <c r="AB30" s="58"/>
      <c r="AC30" s="62" t="b">
        <f t="shared" si="35"/>
        <v>0</v>
      </c>
      <c r="AD30" s="58"/>
      <c r="AE30" s="62" t="b">
        <f t="shared" si="36"/>
        <v>0</v>
      </c>
      <c r="AF30" s="58"/>
      <c r="AG30" s="62" t="b">
        <f t="shared" si="37"/>
        <v>0</v>
      </c>
      <c r="AH30" s="63"/>
      <c r="AI30" s="62" t="b">
        <f t="shared" si="38"/>
        <v>0</v>
      </c>
      <c r="AJ30" s="63"/>
      <c r="AK30" s="58"/>
      <c r="AL30" s="62" t="b">
        <f t="shared" si="39"/>
        <v>0</v>
      </c>
      <c r="AM30" s="64" t="e">
        <f t="shared" si="40"/>
        <v>#DIV/0!</v>
      </c>
      <c r="AN30" s="104"/>
      <c r="AO30" s="107"/>
      <c r="AP30" s="107"/>
      <c r="AQ30" s="110"/>
    </row>
    <row r="31" spans="2:50">
      <c r="B31" s="108"/>
      <c r="C31" s="111"/>
      <c r="D31" s="111"/>
      <c r="E31" s="108"/>
      <c r="F31" s="108"/>
      <c r="G31" s="108"/>
      <c r="H31" s="108"/>
      <c r="I31" s="108"/>
      <c r="J31" s="108"/>
      <c r="K31" s="108"/>
      <c r="L31" s="108"/>
      <c r="M31" s="108"/>
      <c r="N31" s="108"/>
      <c r="O31" s="108"/>
      <c r="P31" s="108"/>
      <c r="Q31" s="108"/>
      <c r="R31" s="108"/>
      <c r="S31" s="108"/>
      <c r="T31" s="108"/>
      <c r="U31" s="108">
        <f t="shared" ref="U31" si="41">IF(T31="Catastrófico",5,IF(T31="Mayor",4,IF(T31="Moderado",3,IF(T31="Menor",2,1))))</f>
        <v>1</v>
      </c>
      <c r="V31" s="108"/>
      <c r="W31" s="108">
        <f t="shared" ref="W31" si="42">IF(V31="Muy probable",5,IF(V31="Probable",4,IF(V31="Moderada",3,IF(V31="Baja",2,1))))</f>
        <v>1</v>
      </c>
      <c r="X31" s="108">
        <f t="shared" ref="X31" si="43">+W31*U31</f>
        <v>1</v>
      </c>
      <c r="Y31" s="96" t="s">
        <v>112</v>
      </c>
      <c r="Z31" s="57"/>
      <c r="AA31" s="57"/>
      <c r="AB31" s="58"/>
      <c r="AC31" s="62" t="b">
        <f t="shared" ref="AC31:AC33" si="44">IF(AB31="PREVENTIVO",90%,IF(AB31="DETECTIVO",60%,IF(AB31="CORRECTIVO",30%)))</f>
        <v>0</v>
      </c>
      <c r="AD31" s="58"/>
      <c r="AE31" s="62" t="b">
        <f t="shared" ref="AE31:AE33" si="45">IF(AD31="MANUAL",40%,IF(AD31="SEMI AUTOMÁTICA",60%,IF(AD31="AUTOMÁTICA",95%)))</f>
        <v>0</v>
      </c>
      <c r="AF31" s="58"/>
      <c r="AG31" s="62" t="b">
        <f t="shared" ref="AG31:AG33" si="46">IF(AF31="VOLUNTARIO",40%,IF(AF31="MANDATORIO",60%,IF(AF31="OBLIGATORIO",90%)))</f>
        <v>0</v>
      </c>
      <c r="AH31" s="63"/>
      <c r="AI31" s="62" t="b">
        <f t="shared" ref="AI31:AI33" si="47">IF(AH31="NO",40%,IF(AH31="SI",80%))</f>
        <v>0</v>
      </c>
      <c r="AJ31" s="63"/>
      <c r="AK31" s="58"/>
      <c r="AL31" s="62" t="b">
        <f t="shared" ref="AL31:AL33" si="48">IF(AK31="POR EVENTO O DIARIO",95%,IF(AK31="MENSUAL",80%,IF(AK31="BIMESTRAL",70%,IF(AK31="TRIMESTRAL",60%,IF(AK31="SEMESTRAL",40%,IF(AK31="ANUAL O BIANUAL",20%))))))</f>
        <v>0</v>
      </c>
      <c r="AM31" s="64" t="e">
        <f t="shared" ref="AM31:AM33" si="49">AVERAGE(AC31,AE31,AG31,AI31,AL31)</f>
        <v>#DIV/0!</v>
      </c>
      <c r="AN31" s="102"/>
      <c r="AO31" s="105"/>
      <c r="AP31" s="105"/>
      <c r="AQ31" s="108"/>
    </row>
    <row r="32" spans="2:50">
      <c r="B32" s="109"/>
      <c r="C32" s="112"/>
      <c r="D32" s="112"/>
      <c r="E32" s="109"/>
      <c r="F32" s="109"/>
      <c r="G32" s="109"/>
      <c r="H32" s="109"/>
      <c r="I32" s="109"/>
      <c r="J32" s="109"/>
      <c r="K32" s="109"/>
      <c r="L32" s="109"/>
      <c r="M32" s="109"/>
      <c r="N32" s="109"/>
      <c r="O32" s="109"/>
      <c r="P32" s="109"/>
      <c r="Q32" s="109"/>
      <c r="R32" s="109"/>
      <c r="S32" s="109"/>
      <c r="T32" s="109"/>
      <c r="U32" s="109"/>
      <c r="V32" s="109"/>
      <c r="W32" s="109"/>
      <c r="X32" s="109"/>
      <c r="Y32" s="97"/>
      <c r="Z32" s="57"/>
      <c r="AA32" s="57"/>
      <c r="AB32" s="58"/>
      <c r="AC32" s="62" t="b">
        <f t="shared" si="44"/>
        <v>0</v>
      </c>
      <c r="AD32" s="58"/>
      <c r="AE32" s="62" t="b">
        <f t="shared" si="45"/>
        <v>0</v>
      </c>
      <c r="AF32" s="58"/>
      <c r="AG32" s="62" t="b">
        <f t="shared" si="46"/>
        <v>0</v>
      </c>
      <c r="AH32" s="63"/>
      <c r="AI32" s="62" t="b">
        <f t="shared" si="47"/>
        <v>0</v>
      </c>
      <c r="AJ32" s="63"/>
      <c r="AK32" s="58"/>
      <c r="AL32" s="62" t="b">
        <f t="shared" si="48"/>
        <v>0</v>
      </c>
      <c r="AM32" s="64" t="e">
        <f t="shared" si="49"/>
        <v>#DIV/0!</v>
      </c>
      <c r="AN32" s="103"/>
      <c r="AO32" s="106"/>
      <c r="AP32" s="106"/>
      <c r="AQ32" s="109"/>
    </row>
    <row r="33" spans="2:43">
      <c r="B33" s="110"/>
      <c r="C33" s="113"/>
      <c r="D33" s="113"/>
      <c r="E33" s="110"/>
      <c r="F33" s="110"/>
      <c r="G33" s="110"/>
      <c r="H33" s="110"/>
      <c r="I33" s="110"/>
      <c r="J33" s="110"/>
      <c r="K33" s="110"/>
      <c r="L33" s="110"/>
      <c r="M33" s="110"/>
      <c r="N33" s="110"/>
      <c r="O33" s="110"/>
      <c r="P33" s="110"/>
      <c r="Q33" s="110"/>
      <c r="R33" s="110"/>
      <c r="S33" s="110"/>
      <c r="T33" s="110"/>
      <c r="U33" s="110"/>
      <c r="V33" s="110"/>
      <c r="W33" s="110"/>
      <c r="X33" s="110"/>
      <c r="Y33" s="98"/>
      <c r="Z33" s="57"/>
      <c r="AA33" s="57"/>
      <c r="AB33" s="58"/>
      <c r="AC33" s="62" t="b">
        <f t="shared" si="44"/>
        <v>0</v>
      </c>
      <c r="AD33" s="58"/>
      <c r="AE33" s="62" t="b">
        <f t="shared" si="45"/>
        <v>0</v>
      </c>
      <c r="AF33" s="58"/>
      <c r="AG33" s="62" t="b">
        <f t="shared" si="46"/>
        <v>0</v>
      </c>
      <c r="AH33" s="63"/>
      <c r="AI33" s="62" t="b">
        <f t="shared" si="47"/>
        <v>0</v>
      </c>
      <c r="AJ33" s="63"/>
      <c r="AK33" s="58"/>
      <c r="AL33" s="62" t="b">
        <f t="shared" si="48"/>
        <v>0</v>
      </c>
      <c r="AM33" s="64" t="e">
        <f t="shared" si="49"/>
        <v>#DIV/0!</v>
      </c>
      <c r="AN33" s="104"/>
      <c r="AO33" s="107"/>
      <c r="AP33" s="107"/>
      <c r="AQ33" s="110"/>
    </row>
    <row r="34" spans="2:43">
      <c r="B34" s="108"/>
      <c r="C34" s="111"/>
      <c r="D34" s="111"/>
      <c r="E34" s="108"/>
      <c r="F34" s="108"/>
      <c r="G34" s="108"/>
      <c r="H34" s="108"/>
      <c r="I34" s="108"/>
      <c r="J34" s="108"/>
      <c r="K34" s="108"/>
      <c r="L34" s="108"/>
      <c r="M34" s="108"/>
      <c r="N34" s="108"/>
      <c r="O34" s="108"/>
      <c r="P34" s="108"/>
      <c r="Q34" s="108"/>
      <c r="R34" s="108"/>
      <c r="S34" s="108"/>
      <c r="T34" s="108"/>
      <c r="U34" s="108">
        <f t="shared" ref="U34" si="50">IF(T34="Catastrófico",5,IF(T34="Mayor",4,IF(T34="Moderado",3,IF(T34="Menor",2,1))))</f>
        <v>1</v>
      </c>
      <c r="V34" s="108"/>
      <c r="W34" s="108">
        <f t="shared" ref="W34" si="51">IF(V34="Muy probable",5,IF(V34="Probable",4,IF(V34="Moderada",3,IF(V34="Baja",2,1))))</f>
        <v>1</v>
      </c>
      <c r="X34" s="108">
        <f t="shared" ref="X34" si="52">+W34*U34</f>
        <v>1</v>
      </c>
      <c r="Y34" s="96" t="s">
        <v>112</v>
      </c>
      <c r="Z34" s="57"/>
      <c r="AA34" s="57"/>
      <c r="AB34" s="58"/>
      <c r="AC34" s="62" t="b">
        <f t="shared" ref="AC34:AC45" si="53">IF(AB34="PREVENTIVO",90%,IF(AB34="DETECTIVO",60%,IF(AB34="CORRECTIVO",30%)))</f>
        <v>0</v>
      </c>
      <c r="AD34" s="58"/>
      <c r="AE34" s="62" t="b">
        <f t="shared" ref="AE34:AE45" si="54">IF(AD34="MANUAL",40%,IF(AD34="SEMI AUTOMÁTICA",60%,IF(AD34="AUTOMÁTICA",95%)))</f>
        <v>0</v>
      </c>
      <c r="AF34" s="58"/>
      <c r="AG34" s="62" t="b">
        <f t="shared" ref="AG34:AG45" si="55">IF(AF34="VOLUNTARIO",40%,IF(AF34="MANDATORIO",60%,IF(AF34="OBLIGATORIO",90%)))</f>
        <v>0</v>
      </c>
      <c r="AH34" s="63"/>
      <c r="AI34" s="62" t="b">
        <f t="shared" ref="AI34:AI45" si="56">IF(AH34="NO",40%,IF(AH34="SI",80%))</f>
        <v>0</v>
      </c>
      <c r="AJ34" s="63"/>
      <c r="AK34" s="58"/>
      <c r="AL34" s="62" t="b">
        <f t="shared" ref="AL34:AL45" si="57">IF(AK34="POR EVENTO O DIARIO",95%,IF(AK34="MENSUAL",80%,IF(AK34="BIMESTRAL",70%,IF(AK34="TRIMESTRAL",60%,IF(AK34="SEMESTRAL",40%,IF(AK34="ANUAL O BIANUAL",20%))))))</f>
        <v>0</v>
      </c>
      <c r="AM34" s="64" t="e">
        <f t="shared" ref="AM34:AM45" si="58">AVERAGE(AC34,AE34,AG34,AI34,AL34)</f>
        <v>#DIV/0!</v>
      </c>
      <c r="AN34" s="102"/>
      <c r="AO34" s="105"/>
      <c r="AP34" s="105"/>
      <c r="AQ34" s="108"/>
    </row>
    <row r="35" spans="2:43">
      <c r="B35" s="109"/>
      <c r="C35" s="112"/>
      <c r="D35" s="112"/>
      <c r="E35" s="109"/>
      <c r="F35" s="109"/>
      <c r="G35" s="109"/>
      <c r="H35" s="109"/>
      <c r="I35" s="109"/>
      <c r="J35" s="109"/>
      <c r="K35" s="109"/>
      <c r="L35" s="109"/>
      <c r="M35" s="109"/>
      <c r="N35" s="109"/>
      <c r="O35" s="109"/>
      <c r="P35" s="109"/>
      <c r="Q35" s="109"/>
      <c r="R35" s="109"/>
      <c r="S35" s="109"/>
      <c r="T35" s="109"/>
      <c r="U35" s="109"/>
      <c r="V35" s="109"/>
      <c r="W35" s="109"/>
      <c r="X35" s="109"/>
      <c r="Y35" s="97"/>
      <c r="Z35" s="57"/>
      <c r="AA35" s="57"/>
      <c r="AB35" s="58"/>
      <c r="AC35" s="62" t="b">
        <f t="shared" si="53"/>
        <v>0</v>
      </c>
      <c r="AD35" s="58"/>
      <c r="AE35" s="62" t="b">
        <f t="shared" si="54"/>
        <v>0</v>
      </c>
      <c r="AF35" s="58"/>
      <c r="AG35" s="62" t="b">
        <f t="shared" si="55"/>
        <v>0</v>
      </c>
      <c r="AH35" s="63"/>
      <c r="AI35" s="62" t="b">
        <f t="shared" si="56"/>
        <v>0</v>
      </c>
      <c r="AJ35" s="63"/>
      <c r="AK35" s="58"/>
      <c r="AL35" s="62" t="b">
        <f t="shared" si="57"/>
        <v>0</v>
      </c>
      <c r="AM35" s="64" t="e">
        <f t="shared" si="58"/>
        <v>#DIV/0!</v>
      </c>
      <c r="AN35" s="103"/>
      <c r="AO35" s="106"/>
      <c r="AP35" s="106"/>
      <c r="AQ35" s="109"/>
    </row>
    <row r="36" spans="2:43">
      <c r="B36" s="110"/>
      <c r="C36" s="113"/>
      <c r="D36" s="113"/>
      <c r="E36" s="110"/>
      <c r="F36" s="110"/>
      <c r="G36" s="110"/>
      <c r="H36" s="110"/>
      <c r="I36" s="110"/>
      <c r="J36" s="110"/>
      <c r="K36" s="110"/>
      <c r="L36" s="110"/>
      <c r="M36" s="110"/>
      <c r="N36" s="110"/>
      <c r="O36" s="110"/>
      <c r="P36" s="110"/>
      <c r="Q36" s="110"/>
      <c r="R36" s="110"/>
      <c r="S36" s="110"/>
      <c r="T36" s="110"/>
      <c r="U36" s="110"/>
      <c r="V36" s="110"/>
      <c r="W36" s="110"/>
      <c r="X36" s="110"/>
      <c r="Y36" s="98"/>
      <c r="Z36" s="57"/>
      <c r="AA36" s="57"/>
      <c r="AB36" s="58"/>
      <c r="AC36" s="62" t="b">
        <f t="shared" si="53"/>
        <v>0</v>
      </c>
      <c r="AD36" s="58"/>
      <c r="AE36" s="62" t="b">
        <f t="shared" si="54"/>
        <v>0</v>
      </c>
      <c r="AF36" s="58"/>
      <c r="AG36" s="62" t="b">
        <f t="shared" si="55"/>
        <v>0</v>
      </c>
      <c r="AH36" s="63"/>
      <c r="AI36" s="62" t="b">
        <f t="shared" si="56"/>
        <v>0</v>
      </c>
      <c r="AJ36" s="63"/>
      <c r="AK36" s="58"/>
      <c r="AL36" s="62" t="b">
        <f t="shared" si="57"/>
        <v>0</v>
      </c>
      <c r="AM36" s="64" t="e">
        <f t="shared" si="58"/>
        <v>#DIV/0!</v>
      </c>
      <c r="AN36" s="104"/>
      <c r="AO36" s="107"/>
      <c r="AP36" s="107"/>
      <c r="AQ36" s="110"/>
    </row>
    <row r="37" spans="2:43">
      <c r="B37" s="108"/>
      <c r="C37" s="111"/>
      <c r="D37" s="111"/>
      <c r="E37" s="108"/>
      <c r="F37" s="108"/>
      <c r="G37" s="108"/>
      <c r="H37" s="108"/>
      <c r="I37" s="108"/>
      <c r="J37" s="108"/>
      <c r="K37" s="108"/>
      <c r="L37" s="108"/>
      <c r="M37" s="108"/>
      <c r="N37" s="108"/>
      <c r="O37" s="108"/>
      <c r="P37" s="108"/>
      <c r="Q37" s="108"/>
      <c r="R37" s="108"/>
      <c r="S37" s="108"/>
      <c r="T37" s="108"/>
      <c r="U37" s="108">
        <f t="shared" ref="U37" si="59">IF(T37="Catastrófico",5,IF(T37="Mayor",4,IF(T37="Moderado",3,IF(T37="Menor",2,1))))</f>
        <v>1</v>
      </c>
      <c r="V37" s="108"/>
      <c r="W37" s="108">
        <f t="shared" ref="W37" si="60">IF(V37="Muy probable",5,IF(V37="Probable",4,IF(V37="Moderada",3,IF(V37="Baja",2,1))))</f>
        <v>1</v>
      </c>
      <c r="X37" s="108">
        <f t="shared" ref="X37" si="61">+W37*U37</f>
        <v>1</v>
      </c>
      <c r="Y37" s="96" t="s">
        <v>112</v>
      </c>
      <c r="Z37" s="57"/>
      <c r="AA37" s="57"/>
      <c r="AB37" s="58"/>
      <c r="AC37" s="62" t="b">
        <f t="shared" si="53"/>
        <v>0</v>
      </c>
      <c r="AD37" s="58"/>
      <c r="AE37" s="62" t="b">
        <f t="shared" si="54"/>
        <v>0</v>
      </c>
      <c r="AF37" s="58"/>
      <c r="AG37" s="62" t="b">
        <f t="shared" si="55"/>
        <v>0</v>
      </c>
      <c r="AH37" s="63"/>
      <c r="AI37" s="62" t="b">
        <f t="shared" si="56"/>
        <v>0</v>
      </c>
      <c r="AJ37" s="63"/>
      <c r="AK37" s="58"/>
      <c r="AL37" s="62" t="b">
        <f t="shared" si="57"/>
        <v>0</v>
      </c>
      <c r="AM37" s="64" t="e">
        <f t="shared" si="58"/>
        <v>#DIV/0!</v>
      </c>
      <c r="AN37" s="102"/>
      <c r="AO37" s="105"/>
      <c r="AP37" s="105"/>
      <c r="AQ37" s="108"/>
    </row>
    <row r="38" spans="2:43">
      <c r="B38" s="109"/>
      <c r="C38" s="112"/>
      <c r="D38" s="112"/>
      <c r="E38" s="109"/>
      <c r="F38" s="109"/>
      <c r="G38" s="109"/>
      <c r="H38" s="109"/>
      <c r="I38" s="109"/>
      <c r="J38" s="109"/>
      <c r="K38" s="109"/>
      <c r="L38" s="109"/>
      <c r="M38" s="109"/>
      <c r="N38" s="109"/>
      <c r="O38" s="109"/>
      <c r="P38" s="109"/>
      <c r="Q38" s="109"/>
      <c r="R38" s="109"/>
      <c r="S38" s="109"/>
      <c r="T38" s="109"/>
      <c r="U38" s="109"/>
      <c r="V38" s="109"/>
      <c r="W38" s="109"/>
      <c r="X38" s="109"/>
      <c r="Y38" s="97"/>
      <c r="Z38" s="57"/>
      <c r="AA38" s="57"/>
      <c r="AB38" s="58"/>
      <c r="AC38" s="62" t="b">
        <f t="shared" si="53"/>
        <v>0</v>
      </c>
      <c r="AD38" s="58"/>
      <c r="AE38" s="62" t="b">
        <f t="shared" si="54"/>
        <v>0</v>
      </c>
      <c r="AF38" s="58"/>
      <c r="AG38" s="62" t="b">
        <f t="shared" si="55"/>
        <v>0</v>
      </c>
      <c r="AH38" s="63"/>
      <c r="AI38" s="62" t="b">
        <f t="shared" si="56"/>
        <v>0</v>
      </c>
      <c r="AJ38" s="63"/>
      <c r="AK38" s="58"/>
      <c r="AL38" s="62" t="b">
        <f t="shared" si="57"/>
        <v>0</v>
      </c>
      <c r="AM38" s="64" t="e">
        <f t="shared" si="58"/>
        <v>#DIV/0!</v>
      </c>
      <c r="AN38" s="103"/>
      <c r="AO38" s="106"/>
      <c r="AP38" s="106"/>
      <c r="AQ38" s="109"/>
    </row>
    <row r="39" spans="2:43">
      <c r="B39" s="110"/>
      <c r="C39" s="113"/>
      <c r="D39" s="113"/>
      <c r="E39" s="110"/>
      <c r="F39" s="110"/>
      <c r="G39" s="110"/>
      <c r="H39" s="110"/>
      <c r="I39" s="110"/>
      <c r="J39" s="110"/>
      <c r="K39" s="110"/>
      <c r="L39" s="110"/>
      <c r="M39" s="110"/>
      <c r="N39" s="110"/>
      <c r="O39" s="110"/>
      <c r="P39" s="110"/>
      <c r="Q39" s="110"/>
      <c r="R39" s="110"/>
      <c r="S39" s="110"/>
      <c r="T39" s="110"/>
      <c r="U39" s="110"/>
      <c r="V39" s="110"/>
      <c r="W39" s="110"/>
      <c r="X39" s="110"/>
      <c r="Y39" s="98"/>
      <c r="Z39" s="57"/>
      <c r="AA39" s="57"/>
      <c r="AB39" s="58"/>
      <c r="AC39" s="62" t="b">
        <f t="shared" si="53"/>
        <v>0</v>
      </c>
      <c r="AD39" s="58"/>
      <c r="AE39" s="62" t="b">
        <f t="shared" si="54"/>
        <v>0</v>
      </c>
      <c r="AF39" s="58"/>
      <c r="AG39" s="62" t="b">
        <f t="shared" si="55"/>
        <v>0</v>
      </c>
      <c r="AH39" s="63"/>
      <c r="AI39" s="62" t="b">
        <f t="shared" si="56"/>
        <v>0</v>
      </c>
      <c r="AJ39" s="63"/>
      <c r="AK39" s="58"/>
      <c r="AL39" s="62" t="b">
        <f t="shared" si="57"/>
        <v>0</v>
      </c>
      <c r="AM39" s="64" t="e">
        <f t="shared" si="58"/>
        <v>#DIV/0!</v>
      </c>
      <c r="AN39" s="104"/>
      <c r="AO39" s="107"/>
      <c r="AP39" s="107"/>
      <c r="AQ39" s="110"/>
    </row>
    <row r="40" spans="2:43">
      <c r="B40" s="108"/>
      <c r="C40" s="111"/>
      <c r="D40" s="111"/>
      <c r="E40" s="108"/>
      <c r="F40" s="108"/>
      <c r="G40" s="108"/>
      <c r="H40" s="108"/>
      <c r="I40" s="108"/>
      <c r="J40" s="108"/>
      <c r="K40" s="108"/>
      <c r="L40" s="108"/>
      <c r="M40" s="108"/>
      <c r="N40" s="108"/>
      <c r="O40" s="108"/>
      <c r="P40" s="108"/>
      <c r="Q40" s="108"/>
      <c r="R40" s="108"/>
      <c r="S40" s="108"/>
      <c r="T40" s="108"/>
      <c r="U40" s="108">
        <f t="shared" ref="U40" si="62">IF(T40="Catastrófico",5,IF(T40="Mayor",4,IF(T40="Moderado",3,IF(T40="Menor",2,1))))</f>
        <v>1</v>
      </c>
      <c r="V40" s="108"/>
      <c r="W40" s="108">
        <f t="shared" ref="W40" si="63">IF(V40="Muy probable",5,IF(V40="Probable",4,IF(V40="Moderada",3,IF(V40="Baja",2,1))))</f>
        <v>1</v>
      </c>
      <c r="X40" s="108">
        <f t="shared" ref="X40" si="64">+W40*U40</f>
        <v>1</v>
      </c>
      <c r="Y40" s="96" t="s">
        <v>112</v>
      </c>
      <c r="Z40" s="57"/>
      <c r="AA40" s="57"/>
      <c r="AB40" s="58"/>
      <c r="AC40" s="62" t="b">
        <f t="shared" si="53"/>
        <v>0</v>
      </c>
      <c r="AD40" s="58"/>
      <c r="AE40" s="62" t="b">
        <f t="shared" si="54"/>
        <v>0</v>
      </c>
      <c r="AF40" s="58"/>
      <c r="AG40" s="62" t="b">
        <f t="shared" si="55"/>
        <v>0</v>
      </c>
      <c r="AH40" s="63"/>
      <c r="AI40" s="62" t="b">
        <f t="shared" si="56"/>
        <v>0</v>
      </c>
      <c r="AJ40" s="63"/>
      <c r="AK40" s="58"/>
      <c r="AL40" s="62" t="b">
        <f t="shared" si="57"/>
        <v>0</v>
      </c>
      <c r="AM40" s="64" t="e">
        <f t="shared" si="58"/>
        <v>#DIV/0!</v>
      </c>
      <c r="AN40" s="102"/>
      <c r="AO40" s="105"/>
      <c r="AP40" s="105"/>
      <c r="AQ40" s="108"/>
    </row>
    <row r="41" spans="2:43">
      <c r="B41" s="109"/>
      <c r="C41" s="112"/>
      <c r="D41" s="112"/>
      <c r="E41" s="109"/>
      <c r="F41" s="109"/>
      <c r="G41" s="109"/>
      <c r="H41" s="109"/>
      <c r="I41" s="109"/>
      <c r="J41" s="109"/>
      <c r="K41" s="109"/>
      <c r="L41" s="109"/>
      <c r="M41" s="109"/>
      <c r="N41" s="109"/>
      <c r="O41" s="109"/>
      <c r="P41" s="109"/>
      <c r="Q41" s="109"/>
      <c r="R41" s="109"/>
      <c r="S41" s="109"/>
      <c r="T41" s="109"/>
      <c r="U41" s="109"/>
      <c r="V41" s="109"/>
      <c r="W41" s="109"/>
      <c r="X41" s="109"/>
      <c r="Y41" s="97"/>
      <c r="Z41" s="57"/>
      <c r="AA41" s="57"/>
      <c r="AB41" s="58"/>
      <c r="AC41" s="62" t="b">
        <f t="shared" si="53"/>
        <v>0</v>
      </c>
      <c r="AD41" s="58"/>
      <c r="AE41" s="62" t="b">
        <f t="shared" si="54"/>
        <v>0</v>
      </c>
      <c r="AF41" s="58"/>
      <c r="AG41" s="62" t="b">
        <f t="shared" si="55"/>
        <v>0</v>
      </c>
      <c r="AH41" s="63"/>
      <c r="AI41" s="62" t="b">
        <f t="shared" si="56"/>
        <v>0</v>
      </c>
      <c r="AJ41" s="63"/>
      <c r="AK41" s="58"/>
      <c r="AL41" s="62" t="b">
        <f t="shared" si="57"/>
        <v>0</v>
      </c>
      <c r="AM41" s="64" t="e">
        <f t="shared" si="58"/>
        <v>#DIV/0!</v>
      </c>
      <c r="AN41" s="103"/>
      <c r="AO41" s="106"/>
      <c r="AP41" s="106"/>
      <c r="AQ41" s="109"/>
    </row>
    <row r="42" spans="2:43">
      <c r="B42" s="110"/>
      <c r="C42" s="113"/>
      <c r="D42" s="113"/>
      <c r="E42" s="110"/>
      <c r="F42" s="110"/>
      <c r="G42" s="110"/>
      <c r="H42" s="110"/>
      <c r="I42" s="110"/>
      <c r="J42" s="110"/>
      <c r="K42" s="110"/>
      <c r="L42" s="110"/>
      <c r="M42" s="110"/>
      <c r="N42" s="110"/>
      <c r="O42" s="110"/>
      <c r="P42" s="110"/>
      <c r="Q42" s="110"/>
      <c r="R42" s="110"/>
      <c r="S42" s="110"/>
      <c r="T42" s="110"/>
      <c r="U42" s="110"/>
      <c r="V42" s="110"/>
      <c r="W42" s="110"/>
      <c r="X42" s="110"/>
      <c r="Y42" s="98"/>
      <c r="Z42" s="57"/>
      <c r="AA42" s="57"/>
      <c r="AB42" s="58"/>
      <c r="AC42" s="62" t="b">
        <f t="shared" si="53"/>
        <v>0</v>
      </c>
      <c r="AD42" s="58"/>
      <c r="AE42" s="62" t="b">
        <f t="shared" si="54"/>
        <v>0</v>
      </c>
      <c r="AF42" s="58"/>
      <c r="AG42" s="62" t="b">
        <f t="shared" si="55"/>
        <v>0</v>
      </c>
      <c r="AH42" s="63"/>
      <c r="AI42" s="62" t="b">
        <f t="shared" si="56"/>
        <v>0</v>
      </c>
      <c r="AJ42" s="63"/>
      <c r="AK42" s="58"/>
      <c r="AL42" s="62" t="b">
        <f t="shared" si="57"/>
        <v>0</v>
      </c>
      <c r="AM42" s="64" t="e">
        <f t="shared" si="58"/>
        <v>#DIV/0!</v>
      </c>
      <c r="AN42" s="104"/>
      <c r="AO42" s="107"/>
      <c r="AP42" s="107"/>
      <c r="AQ42" s="110"/>
    </row>
    <row r="43" spans="2:43">
      <c r="B43" s="108"/>
      <c r="C43" s="111"/>
      <c r="D43" s="111"/>
      <c r="E43" s="108"/>
      <c r="F43" s="108"/>
      <c r="G43" s="108"/>
      <c r="H43" s="108"/>
      <c r="I43" s="108"/>
      <c r="J43" s="108"/>
      <c r="K43" s="108"/>
      <c r="L43" s="108"/>
      <c r="M43" s="108"/>
      <c r="N43" s="108"/>
      <c r="O43" s="108"/>
      <c r="P43" s="108"/>
      <c r="Q43" s="108"/>
      <c r="R43" s="108"/>
      <c r="S43" s="108"/>
      <c r="T43" s="108"/>
      <c r="U43" s="108">
        <f t="shared" ref="U43" si="65">IF(T43="Catastrófico",5,IF(T43="Mayor",4,IF(T43="Moderado",3,IF(T43="Menor",2,1))))</f>
        <v>1</v>
      </c>
      <c r="V43" s="108"/>
      <c r="W43" s="108">
        <f t="shared" ref="W43" si="66">IF(V43="Muy probable",5,IF(V43="Probable",4,IF(V43="Moderada",3,IF(V43="Baja",2,1))))</f>
        <v>1</v>
      </c>
      <c r="X43" s="108">
        <f t="shared" ref="X43" si="67">+W43*U43</f>
        <v>1</v>
      </c>
      <c r="Y43" s="96" t="s">
        <v>112</v>
      </c>
      <c r="Z43" s="57"/>
      <c r="AA43" s="57"/>
      <c r="AB43" s="58"/>
      <c r="AC43" s="62" t="b">
        <f t="shared" si="53"/>
        <v>0</v>
      </c>
      <c r="AD43" s="58"/>
      <c r="AE43" s="62" t="b">
        <f t="shared" si="54"/>
        <v>0</v>
      </c>
      <c r="AF43" s="58"/>
      <c r="AG43" s="62" t="b">
        <f t="shared" si="55"/>
        <v>0</v>
      </c>
      <c r="AH43" s="63"/>
      <c r="AI43" s="62" t="b">
        <f t="shared" si="56"/>
        <v>0</v>
      </c>
      <c r="AJ43" s="63"/>
      <c r="AK43" s="58"/>
      <c r="AL43" s="62" t="b">
        <f t="shared" si="57"/>
        <v>0</v>
      </c>
      <c r="AM43" s="64" t="e">
        <f t="shared" si="58"/>
        <v>#DIV/0!</v>
      </c>
      <c r="AN43" s="102"/>
      <c r="AO43" s="105"/>
      <c r="AP43" s="105"/>
      <c r="AQ43" s="108"/>
    </row>
    <row r="44" spans="2:43">
      <c r="B44" s="109"/>
      <c r="C44" s="112"/>
      <c r="D44" s="112"/>
      <c r="E44" s="109"/>
      <c r="F44" s="109"/>
      <c r="G44" s="109"/>
      <c r="H44" s="109"/>
      <c r="I44" s="109"/>
      <c r="J44" s="109"/>
      <c r="K44" s="109"/>
      <c r="L44" s="109"/>
      <c r="M44" s="109"/>
      <c r="N44" s="109"/>
      <c r="O44" s="109"/>
      <c r="P44" s="109"/>
      <c r="Q44" s="109"/>
      <c r="R44" s="109"/>
      <c r="S44" s="109"/>
      <c r="T44" s="109"/>
      <c r="U44" s="109"/>
      <c r="V44" s="109"/>
      <c r="W44" s="109"/>
      <c r="X44" s="109"/>
      <c r="Y44" s="97"/>
      <c r="Z44" s="57"/>
      <c r="AA44" s="57"/>
      <c r="AB44" s="58"/>
      <c r="AC44" s="62" t="b">
        <f t="shared" si="53"/>
        <v>0</v>
      </c>
      <c r="AD44" s="58"/>
      <c r="AE44" s="62" t="b">
        <f t="shared" si="54"/>
        <v>0</v>
      </c>
      <c r="AF44" s="58"/>
      <c r="AG44" s="62" t="b">
        <f t="shared" si="55"/>
        <v>0</v>
      </c>
      <c r="AH44" s="63"/>
      <c r="AI44" s="62" t="b">
        <f t="shared" si="56"/>
        <v>0</v>
      </c>
      <c r="AJ44" s="63"/>
      <c r="AK44" s="58"/>
      <c r="AL44" s="62" t="b">
        <f t="shared" si="57"/>
        <v>0</v>
      </c>
      <c r="AM44" s="64" t="e">
        <f t="shared" si="58"/>
        <v>#DIV/0!</v>
      </c>
      <c r="AN44" s="103"/>
      <c r="AO44" s="106"/>
      <c r="AP44" s="106"/>
      <c r="AQ44" s="109"/>
    </row>
    <row r="45" spans="2:43">
      <c r="B45" s="110"/>
      <c r="C45" s="113"/>
      <c r="D45" s="113"/>
      <c r="E45" s="110"/>
      <c r="F45" s="110"/>
      <c r="G45" s="110"/>
      <c r="H45" s="110"/>
      <c r="I45" s="110"/>
      <c r="J45" s="110"/>
      <c r="K45" s="110"/>
      <c r="L45" s="110"/>
      <c r="M45" s="110"/>
      <c r="N45" s="110"/>
      <c r="O45" s="110"/>
      <c r="P45" s="110"/>
      <c r="Q45" s="110"/>
      <c r="R45" s="110"/>
      <c r="S45" s="110"/>
      <c r="T45" s="110"/>
      <c r="U45" s="110"/>
      <c r="V45" s="110"/>
      <c r="W45" s="110"/>
      <c r="X45" s="110"/>
      <c r="Y45" s="98"/>
      <c r="Z45" s="57"/>
      <c r="AA45" s="57"/>
      <c r="AB45" s="58"/>
      <c r="AC45" s="62" t="b">
        <f t="shared" si="53"/>
        <v>0</v>
      </c>
      <c r="AD45" s="58"/>
      <c r="AE45" s="62" t="b">
        <f t="shared" si="54"/>
        <v>0</v>
      </c>
      <c r="AF45" s="58"/>
      <c r="AG45" s="62" t="b">
        <f t="shared" si="55"/>
        <v>0</v>
      </c>
      <c r="AH45" s="63"/>
      <c r="AI45" s="62" t="b">
        <f t="shared" si="56"/>
        <v>0</v>
      </c>
      <c r="AJ45" s="63"/>
      <c r="AK45" s="58"/>
      <c r="AL45" s="62" t="b">
        <f t="shared" si="57"/>
        <v>0</v>
      </c>
      <c r="AM45" s="64" t="e">
        <f t="shared" si="58"/>
        <v>#DIV/0!</v>
      </c>
      <c r="AN45" s="104"/>
      <c r="AO45" s="107"/>
      <c r="AP45" s="107"/>
      <c r="AQ45" s="110"/>
    </row>
    <row r="46" spans="2:43">
      <c r="B46" s="108"/>
      <c r="C46" s="111"/>
      <c r="D46" s="111"/>
      <c r="E46" s="108"/>
      <c r="F46" s="108"/>
      <c r="G46" s="108"/>
      <c r="H46" s="108"/>
      <c r="I46" s="108"/>
      <c r="J46" s="108"/>
      <c r="K46" s="108"/>
      <c r="L46" s="108"/>
      <c r="M46" s="108"/>
      <c r="N46" s="108"/>
      <c r="O46" s="108"/>
      <c r="P46" s="108"/>
      <c r="Q46" s="108"/>
      <c r="R46" s="108"/>
      <c r="S46" s="108"/>
      <c r="T46" s="108"/>
      <c r="U46" s="108">
        <f t="shared" ref="U46" si="68">IF(T46="Catastrófico",5,IF(T46="Mayor",4,IF(T46="Moderado",3,IF(T46="Menor",2,1))))</f>
        <v>1</v>
      </c>
      <c r="V46" s="108"/>
      <c r="W46" s="108">
        <f t="shared" ref="W46" si="69">IF(V46="Muy probable",5,IF(V46="Probable",4,IF(V46="Moderada",3,IF(V46="Baja",2,1))))</f>
        <v>1</v>
      </c>
      <c r="X46" s="108">
        <f t="shared" ref="X46" si="70">+W46*U46</f>
        <v>1</v>
      </c>
      <c r="Y46" s="96" t="s">
        <v>112</v>
      </c>
      <c r="Z46" s="57"/>
      <c r="AA46" s="57"/>
      <c r="AB46" s="58"/>
      <c r="AC46" s="62" t="b">
        <f t="shared" ref="AC46:AC60" si="71">IF(AB46="PREVENTIVO",90%,IF(AB46="DETECTIVO",60%,IF(AB46="CORRECTIVO",30%)))</f>
        <v>0</v>
      </c>
      <c r="AD46" s="58"/>
      <c r="AE46" s="62" t="b">
        <f t="shared" ref="AE46:AE60" si="72">IF(AD46="MANUAL",40%,IF(AD46="SEMI AUTOMÁTICA",60%,IF(AD46="AUTOMÁTICA",95%)))</f>
        <v>0</v>
      </c>
      <c r="AF46" s="58"/>
      <c r="AG46" s="62" t="b">
        <f t="shared" ref="AG46:AG60" si="73">IF(AF46="VOLUNTARIO",40%,IF(AF46="MANDATORIO",60%,IF(AF46="OBLIGATORIO",90%)))</f>
        <v>0</v>
      </c>
      <c r="AH46" s="63"/>
      <c r="AI46" s="62" t="b">
        <f t="shared" ref="AI46:AI60" si="74">IF(AH46="NO",40%,IF(AH46="SI",80%))</f>
        <v>0</v>
      </c>
      <c r="AJ46" s="63"/>
      <c r="AK46" s="58"/>
      <c r="AL46" s="62" t="b">
        <f t="shared" ref="AL46:AL60" si="75">IF(AK46="POR EVENTO O DIARIO",95%,IF(AK46="MENSUAL",80%,IF(AK46="BIMESTRAL",70%,IF(AK46="TRIMESTRAL",60%,IF(AK46="SEMESTRAL",40%,IF(AK46="ANUAL O BIANUAL",20%))))))</f>
        <v>0</v>
      </c>
      <c r="AM46" s="64" t="e">
        <f t="shared" ref="AM46:AM60" si="76">AVERAGE(AC46,AE46,AG46,AI46,AL46)</f>
        <v>#DIV/0!</v>
      </c>
      <c r="AN46" s="102"/>
      <c r="AO46" s="105"/>
      <c r="AP46" s="105"/>
      <c r="AQ46" s="108"/>
    </row>
    <row r="47" spans="2:43">
      <c r="B47" s="109"/>
      <c r="C47" s="112"/>
      <c r="D47" s="112"/>
      <c r="E47" s="109"/>
      <c r="F47" s="109"/>
      <c r="G47" s="109"/>
      <c r="H47" s="109"/>
      <c r="I47" s="109"/>
      <c r="J47" s="109"/>
      <c r="K47" s="109"/>
      <c r="L47" s="109"/>
      <c r="M47" s="109"/>
      <c r="N47" s="109"/>
      <c r="O47" s="109"/>
      <c r="P47" s="109"/>
      <c r="Q47" s="109"/>
      <c r="R47" s="109"/>
      <c r="S47" s="109"/>
      <c r="T47" s="109"/>
      <c r="U47" s="109"/>
      <c r="V47" s="109"/>
      <c r="W47" s="109"/>
      <c r="X47" s="109"/>
      <c r="Y47" s="97"/>
      <c r="Z47" s="57"/>
      <c r="AA47" s="57"/>
      <c r="AB47" s="58"/>
      <c r="AC47" s="62" t="b">
        <f t="shared" si="71"/>
        <v>0</v>
      </c>
      <c r="AD47" s="58"/>
      <c r="AE47" s="62" t="b">
        <f t="shared" si="72"/>
        <v>0</v>
      </c>
      <c r="AF47" s="58"/>
      <c r="AG47" s="62" t="b">
        <f t="shared" si="73"/>
        <v>0</v>
      </c>
      <c r="AH47" s="63"/>
      <c r="AI47" s="62" t="b">
        <f t="shared" si="74"/>
        <v>0</v>
      </c>
      <c r="AJ47" s="63"/>
      <c r="AK47" s="58"/>
      <c r="AL47" s="62" t="b">
        <f t="shared" si="75"/>
        <v>0</v>
      </c>
      <c r="AM47" s="64" t="e">
        <f t="shared" si="76"/>
        <v>#DIV/0!</v>
      </c>
      <c r="AN47" s="103"/>
      <c r="AO47" s="106"/>
      <c r="AP47" s="106"/>
      <c r="AQ47" s="109"/>
    </row>
    <row r="48" spans="2:43">
      <c r="B48" s="110"/>
      <c r="C48" s="113"/>
      <c r="D48" s="113"/>
      <c r="E48" s="110"/>
      <c r="F48" s="110"/>
      <c r="G48" s="110"/>
      <c r="H48" s="110"/>
      <c r="I48" s="110"/>
      <c r="J48" s="110"/>
      <c r="K48" s="110"/>
      <c r="L48" s="110"/>
      <c r="M48" s="110"/>
      <c r="N48" s="110"/>
      <c r="O48" s="110"/>
      <c r="P48" s="110"/>
      <c r="Q48" s="110"/>
      <c r="R48" s="110"/>
      <c r="S48" s="110"/>
      <c r="T48" s="110"/>
      <c r="U48" s="110"/>
      <c r="V48" s="110"/>
      <c r="W48" s="110"/>
      <c r="X48" s="110"/>
      <c r="Y48" s="98"/>
      <c r="Z48" s="57"/>
      <c r="AA48" s="57"/>
      <c r="AB48" s="58"/>
      <c r="AC48" s="62" t="b">
        <f t="shared" si="71"/>
        <v>0</v>
      </c>
      <c r="AD48" s="58"/>
      <c r="AE48" s="62" t="b">
        <f t="shared" si="72"/>
        <v>0</v>
      </c>
      <c r="AF48" s="58"/>
      <c r="AG48" s="62" t="b">
        <f t="shared" si="73"/>
        <v>0</v>
      </c>
      <c r="AH48" s="63"/>
      <c r="AI48" s="62" t="b">
        <f t="shared" si="74"/>
        <v>0</v>
      </c>
      <c r="AJ48" s="63"/>
      <c r="AK48" s="58"/>
      <c r="AL48" s="62" t="b">
        <f t="shared" si="75"/>
        <v>0</v>
      </c>
      <c r="AM48" s="64" t="e">
        <f t="shared" si="76"/>
        <v>#DIV/0!</v>
      </c>
      <c r="AN48" s="104"/>
      <c r="AO48" s="107"/>
      <c r="AP48" s="107"/>
      <c r="AQ48" s="110"/>
    </row>
    <row r="49" spans="2:43">
      <c r="B49" s="108"/>
      <c r="C49" s="111"/>
      <c r="D49" s="111"/>
      <c r="E49" s="108"/>
      <c r="F49" s="108"/>
      <c r="G49" s="108"/>
      <c r="H49" s="108"/>
      <c r="I49" s="108"/>
      <c r="J49" s="108"/>
      <c r="K49" s="108"/>
      <c r="L49" s="108"/>
      <c r="M49" s="108"/>
      <c r="N49" s="108"/>
      <c r="O49" s="108"/>
      <c r="P49" s="108"/>
      <c r="Q49" s="108"/>
      <c r="R49" s="108"/>
      <c r="S49" s="108"/>
      <c r="T49" s="108"/>
      <c r="U49" s="108">
        <f t="shared" ref="U49" si="77">IF(T49="Catastrófico",5,IF(T49="Mayor",4,IF(T49="Moderado",3,IF(T49="Menor",2,1))))</f>
        <v>1</v>
      </c>
      <c r="V49" s="108"/>
      <c r="W49" s="108">
        <f t="shared" ref="W49" si="78">IF(V49="Muy probable",5,IF(V49="Probable",4,IF(V49="Moderada",3,IF(V49="Baja",2,1))))</f>
        <v>1</v>
      </c>
      <c r="X49" s="108">
        <f t="shared" ref="X49" si="79">+W49*U49</f>
        <v>1</v>
      </c>
      <c r="Y49" s="96" t="s">
        <v>112</v>
      </c>
      <c r="Z49" s="57"/>
      <c r="AA49" s="57"/>
      <c r="AB49" s="58"/>
      <c r="AC49" s="62" t="b">
        <f t="shared" si="71"/>
        <v>0</v>
      </c>
      <c r="AD49" s="58"/>
      <c r="AE49" s="62" t="b">
        <f t="shared" si="72"/>
        <v>0</v>
      </c>
      <c r="AF49" s="58"/>
      <c r="AG49" s="62" t="b">
        <f t="shared" si="73"/>
        <v>0</v>
      </c>
      <c r="AH49" s="63"/>
      <c r="AI49" s="62" t="b">
        <f t="shared" si="74"/>
        <v>0</v>
      </c>
      <c r="AJ49" s="63"/>
      <c r="AK49" s="58"/>
      <c r="AL49" s="62" t="b">
        <f t="shared" si="75"/>
        <v>0</v>
      </c>
      <c r="AM49" s="64" t="e">
        <f t="shared" si="76"/>
        <v>#DIV/0!</v>
      </c>
      <c r="AN49" s="102"/>
      <c r="AO49" s="105"/>
      <c r="AP49" s="105"/>
      <c r="AQ49" s="108"/>
    </row>
    <row r="50" spans="2:43">
      <c r="B50" s="109"/>
      <c r="C50" s="112"/>
      <c r="D50" s="112"/>
      <c r="E50" s="109"/>
      <c r="F50" s="109"/>
      <c r="G50" s="109"/>
      <c r="H50" s="109"/>
      <c r="I50" s="109"/>
      <c r="J50" s="109"/>
      <c r="K50" s="109"/>
      <c r="L50" s="109"/>
      <c r="M50" s="109"/>
      <c r="N50" s="109"/>
      <c r="O50" s="109"/>
      <c r="P50" s="109"/>
      <c r="Q50" s="109"/>
      <c r="R50" s="109"/>
      <c r="S50" s="109"/>
      <c r="T50" s="109"/>
      <c r="U50" s="109"/>
      <c r="V50" s="109"/>
      <c r="W50" s="109"/>
      <c r="X50" s="109"/>
      <c r="Y50" s="97"/>
      <c r="Z50" s="57"/>
      <c r="AA50" s="57"/>
      <c r="AB50" s="58"/>
      <c r="AC50" s="62" t="b">
        <f t="shared" si="71"/>
        <v>0</v>
      </c>
      <c r="AD50" s="58"/>
      <c r="AE50" s="62" t="b">
        <f t="shared" si="72"/>
        <v>0</v>
      </c>
      <c r="AF50" s="58"/>
      <c r="AG50" s="62" t="b">
        <f t="shared" si="73"/>
        <v>0</v>
      </c>
      <c r="AH50" s="63"/>
      <c r="AI50" s="62" t="b">
        <f t="shared" si="74"/>
        <v>0</v>
      </c>
      <c r="AJ50" s="63"/>
      <c r="AK50" s="58"/>
      <c r="AL50" s="62" t="b">
        <f t="shared" si="75"/>
        <v>0</v>
      </c>
      <c r="AM50" s="64" t="e">
        <f t="shared" si="76"/>
        <v>#DIV/0!</v>
      </c>
      <c r="AN50" s="103"/>
      <c r="AO50" s="106"/>
      <c r="AP50" s="106"/>
      <c r="AQ50" s="109"/>
    </row>
    <row r="51" spans="2:43">
      <c r="B51" s="110"/>
      <c r="C51" s="113"/>
      <c r="D51" s="113"/>
      <c r="E51" s="110"/>
      <c r="F51" s="110"/>
      <c r="G51" s="110"/>
      <c r="H51" s="110"/>
      <c r="I51" s="110"/>
      <c r="J51" s="110"/>
      <c r="K51" s="110"/>
      <c r="L51" s="110"/>
      <c r="M51" s="110"/>
      <c r="N51" s="110"/>
      <c r="O51" s="110"/>
      <c r="P51" s="110"/>
      <c r="Q51" s="110"/>
      <c r="R51" s="110"/>
      <c r="S51" s="110"/>
      <c r="T51" s="110"/>
      <c r="U51" s="110"/>
      <c r="V51" s="110"/>
      <c r="W51" s="110"/>
      <c r="X51" s="110"/>
      <c r="Y51" s="98"/>
      <c r="Z51" s="57"/>
      <c r="AA51" s="57"/>
      <c r="AB51" s="58"/>
      <c r="AC51" s="62" t="b">
        <f t="shared" si="71"/>
        <v>0</v>
      </c>
      <c r="AD51" s="58"/>
      <c r="AE51" s="62" t="b">
        <f t="shared" si="72"/>
        <v>0</v>
      </c>
      <c r="AF51" s="58"/>
      <c r="AG51" s="62" t="b">
        <f t="shared" si="73"/>
        <v>0</v>
      </c>
      <c r="AH51" s="63"/>
      <c r="AI51" s="62" t="b">
        <f t="shared" si="74"/>
        <v>0</v>
      </c>
      <c r="AJ51" s="63"/>
      <c r="AK51" s="58"/>
      <c r="AL51" s="62" t="b">
        <f t="shared" si="75"/>
        <v>0</v>
      </c>
      <c r="AM51" s="64" t="e">
        <f t="shared" si="76"/>
        <v>#DIV/0!</v>
      </c>
      <c r="AN51" s="104"/>
      <c r="AO51" s="107"/>
      <c r="AP51" s="107"/>
      <c r="AQ51" s="110"/>
    </row>
    <row r="52" spans="2:43">
      <c r="B52" s="108"/>
      <c r="C52" s="111"/>
      <c r="D52" s="111"/>
      <c r="E52" s="108"/>
      <c r="F52" s="108"/>
      <c r="G52" s="108"/>
      <c r="H52" s="108"/>
      <c r="I52" s="108"/>
      <c r="J52" s="108"/>
      <c r="K52" s="108"/>
      <c r="L52" s="108"/>
      <c r="M52" s="108"/>
      <c r="N52" s="108"/>
      <c r="O52" s="108"/>
      <c r="P52" s="108"/>
      <c r="Q52" s="108"/>
      <c r="R52" s="108"/>
      <c r="S52" s="108"/>
      <c r="T52" s="108"/>
      <c r="U52" s="108">
        <f t="shared" ref="U52" si="80">IF(T52="Catastrófico",5,IF(T52="Mayor",4,IF(T52="Moderado",3,IF(T52="Menor",2,1))))</f>
        <v>1</v>
      </c>
      <c r="V52" s="108"/>
      <c r="W52" s="108">
        <f t="shared" ref="W52" si="81">IF(V52="Muy probable",5,IF(V52="Probable",4,IF(V52="Moderada",3,IF(V52="Baja",2,1))))</f>
        <v>1</v>
      </c>
      <c r="X52" s="108">
        <f t="shared" ref="X52" si="82">+W52*U52</f>
        <v>1</v>
      </c>
      <c r="Y52" s="96" t="s">
        <v>112</v>
      </c>
      <c r="Z52" s="57"/>
      <c r="AA52" s="57"/>
      <c r="AB52" s="58"/>
      <c r="AC52" s="62" t="b">
        <f t="shared" si="71"/>
        <v>0</v>
      </c>
      <c r="AD52" s="58"/>
      <c r="AE52" s="62" t="b">
        <f t="shared" si="72"/>
        <v>0</v>
      </c>
      <c r="AF52" s="58"/>
      <c r="AG52" s="62" t="b">
        <f t="shared" si="73"/>
        <v>0</v>
      </c>
      <c r="AH52" s="63"/>
      <c r="AI52" s="62" t="b">
        <f t="shared" si="74"/>
        <v>0</v>
      </c>
      <c r="AJ52" s="63"/>
      <c r="AK52" s="58"/>
      <c r="AL52" s="62" t="b">
        <f t="shared" si="75"/>
        <v>0</v>
      </c>
      <c r="AM52" s="64" t="e">
        <f t="shared" si="76"/>
        <v>#DIV/0!</v>
      </c>
      <c r="AN52" s="102"/>
      <c r="AO52" s="105"/>
      <c r="AP52" s="105"/>
      <c r="AQ52" s="108"/>
    </row>
    <row r="53" spans="2:43">
      <c r="B53" s="109"/>
      <c r="C53" s="112"/>
      <c r="D53" s="112"/>
      <c r="E53" s="109"/>
      <c r="F53" s="109"/>
      <c r="G53" s="109"/>
      <c r="H53" s="109"/>
      <c r="I53" s="109"/>
      <c r="J53" s="109"/>
      <c r="K53" s="109"/>
      <c r="L53" s="109"/>
      <c r="M53" s="109"/>
      <c r="N53" s="109"/>
      <c r="O53" s="109"/>
      <c r="P53" s="109"/>
      <c r="Q53" s="109"/>
      <c r="R53" s="109"/>
      <c r="S53" s="109"/>
      <c r="T53" s="109"/>
      <c r="U53" s="109"/>
      <c r="V53" s="109"/>
      <c r="W53" s="109"/>
      <c r="X53" s="109"/>
      <c r="Y53" s="97"/>
      <c r="Z53" s="57"/>
      <c r="AA53" s="57"/>
      <c r="AB53" s="58"/>
      <c r="AC53" s="62" t="b">
        <f t="shared" si="71"/>
        <v>0</v>
      </c>
      <c r="AD53" s="58"/>
      <c r="AE53" s="62" t="b">
        <f t="shared" si="72"/>
        <v>0</v>
      </c>
      <c r="AF53" s="58"/>
      <c r="AG53" s="62" t="b">
        <f t="shared" si="73"/>
        <v>0</v>
      </c>
      <c r="AH53" s="63"/>
      <c r="AI53" s="62" t="b">
        <f t="shared" si="74"/>
        <v>0</v>
      </c>
      <c r="AJ53" s="63"/>
      <c r="AK53" s="58"/>
      <c r="AL53" s="62" t="b">
        <f t="shared" si="75"/>
        <v>0</v>
      </c>
      <c r="AM53" s="64" t="e">
        <f t="shared" si="76"/>
        <v>#DIV/0!</v>
      </c>
      <c r="AN53" s="103"/>
      <c r="AO53" s="106"/>
      <c r="AP53" s="106"/>
      <c r="AQ53" s="109"/>
    </row>
    <row r="54" spans="2:43">
      <c r="B54" s="110"/>
      <c r="C54" s="113"/>
      <c r="D54" s="113"/>
      <c r="E54" s="110"/>
      <c r="F54" s="110"/>
      <c r="G54" s="110"/>
      <c r="H54" s="110"/>
      <c r="I54" s="110"/>
      <c r="J54" s="110"/>
      <c r="K54" s="110"/>
      <c r="L54" s="110"/>
      <c r="M54" s="110"/>
      <c r="N54" s="110"/>
      <c r="O54" s="110"/>
      <c r="P54" s="110"/>
      <c r="Q54" s="110"/>
      <c r="R54" s="110"/>
      <c r="S54" s="110"/>
      <c r="T54" s="110"/>
      <c r="U54" s="110"/>
      <c r="V54" s="110"/>
      <c r="W54" s="110"/>
      <c r="X54" s="110"/>
      <c r="Y54" s="98"/>
      <c r="Z54" s="57"/>
      <c r="AA54" s="57"/>
      <c r="AB54" s="58"/>
      <c r="AC54" s="62" t="b">
        <f t="shared" si="71"/>
        <v>0</v>
      </c>
      <c r="AD54" s="58"/>
      <c r="AE54" s="62" t="b">
        <f t="shared" si="72"/>
        <v>0</v>
      </c>
      <c r="AF54" s="58"/>
      <c r="AG54" s="62" t="b">
        <f t="shared" si="73"/>
        <v>0</v>
      </c>
      <c r="AH54" s="63"/>
      <c r="AI54" s="62" t="b">
        <f t="shared" si="74"/>
        <v>0</v>
      </c>
      <c r="AJ54" s="63"/>
      <c r="AK54" s="58"/>
      <c r="AL54" s="62" t="b">
        <f t="shared" si="75"/>
        <v>0</v>
      </c>
      <c r="AM54" s="64" t="e">
        <f t="shared" si="76"/>
        <v>#DIV/0!</v>
      </c>
      <c r="AN54" s="104"/>
      <c r="AO54" s="107"/>
      <c r="AP54" s="107"/>
      <c r="AQ54" s="110"/>
    </row>
    <row r="55" spans="2:43">
      <c r="B55" s="108"/>
      <c r="C55" s="111"/>
      <c r="D55" s="111"/>
      <c r="E55" s="108"/>
      <c r="F55" s="108"/>
      <c r="G55" s="108"/>
      <c r="H55" s="108"/>
      <c r="I55" s="108"/>
      <c r="J55" s="108"/>
      <c r="K55" s="108"/>
      <c r="L55" s="108"/>
      <c r="M55" s="108"/>
      <c r="N55" s="108"/>
      <c r="O55" s="108"/>
      <c r="P55" s="108"/>
      <c r="Q55" s="108"/>
      <c r="R55" s="108"/>
      <c r="S55" s="108"/>
      <c r="T55" s="108"/>
      <c r="U55" s="108">
        <f t="shared" ref="U55" si="83">IF(T55="Catastrófico",5,IF(T55="Mayor",4,IF(T55="Moderado",3,IF(T55="Menor",2,1))))</f>
        <v>1</v>
      </c>
      <c r="V55" s="108"/>
      <c r="W55" s="108">
        <f t="shared" ref="W55" si="84">IF(V55="Muy probable",5,IF(V55="Probable",4,IF(V55="Moderada",3,IF(V55="Baja",2,1))))</f>
        <v>1</v>
      </c>
      <c r="X55" s="108">
        <f t="shared" ref="X55" si="85">+W55*U55</f>
        <v>1</v>
      </c>
      <c r="Y55" s="96" t="s">
        <v>112</v>
      </c>
      <c r="Z55" s="57"/>
      <c r="AA55" s="57"/>
      <c r="AB55" s="58"/>
      <c r="AC55" s="62" t="b">
        <f t="shared" si="71"/>
        <v>0</v>
      </c>
      <c r="AD55" s="58"/>
      <c r="AE55" s="62" t="b">
        <f t="shared" si="72"/>
        <v>0</v>
      </c>
      <c r="AF55" s="58"/>
      <c r="AG55" s="62" t="b">
        <f t="shared" si="73"/>
        <v>0</v>
      </c>
      <c r="AH55" s="63"/>
      <c r="AI55" s="62" t="b">
        <f t="shared" si="74"/>
        <v>0</v>
      </c>
      <c r="AJ55" s="63"/>
      <c r="AK55" s="58"/>
      <c r="AL55" s="62" t="b">
        <f t="shared" si="75"/>
        <v>0</v>
      </c>
      <c r="AM55" s="64" t="e">
        <f t="shared" si="76"/>
        <v>#DIV/0!</v>
      </c>
      <c r="AN55" s="102"/>
      <c r="AO55" s="105"/>
      <c r="AP55" s="105"/>
      <c r="AQ55" s="108"/>
    </row>
    <row r="56" spans="2:43">
      <c r="B56" s="109"/>
      <c r="C56" s="112"/>
      <c r="D56" s="112"/>
      <c r="E56" s="109"/>
      <c r="F56" s="109"/>
      <c r="G56" s="109"/>
      <c r="H56" s="109"/>
      <c r="I56" s="109"/>
      <c r="J56" s="109"/>
      <c r="K56" s="109"/>
      <c r="L56" s="109"/>
      <c r="M56" s="109"/>
      <c r="N56" s="109"/>
      <c r="O56" s="109"/>
      <c r="P56" s="109"/>
      <c r="Q56" s="109"/>
      <c r="R56" s="109"/>
      <c r="S56" s="109"/>
      <c r="T56" s="109"/>
      <c r="U56" s="109"/>
      <c r="V56" s="109"/>
      <c r="W56" s="109"/>
      <c r="X56" s="109"/>
      <c r="Y56" s="97"/>
      <c r="Z56" s="57"/>
      <c r="AA56" s="57"/>
      <c r="AB56" s="58"/>
      <c r="AC56" s="62" t="b">
        <f t="shared" si="71"/>
        <v>0</v>
      </c>
      <c r="AD56" s="58"/>
      <c r="AE56" s="62" t="b">
        <f t="shared" si="72"/>
        <v>0</v>
      </c>
      <c r="AF56" s="58"/>
      <c r="AG56" s="62" t="b">
        <f t="shared" si="73"/>
        <v>0</v>
      </c>
      <c r="AH56" s="63"/>
      <c r="AI56" s="62" t="b">
        <f t="shared" si="74"/>
        <v>0</v>
      </c>
      <c r="AJ56" s="63"/>
      <c r="AK56" s="58"/>
      <c r="AL56" s="62" t="b">
        <f t="shared" si="75"/>
        <v>0</v>
      </c>
      <c r="AM56" s="64" t="e">
        <f t="shared" si="76"/>
        <v>#DIV/0!</v>
      </c>
      <c r="AN56" s="103"/>
      <c r="AO56" s="106"/>
      <c r="AP56" s="106"/>
      <c r="AQ56" s="109"/>
    </row>
    <row r="57" spans="2:43">
      <c r="B57" s="110"/>
      <c r="C57" s="113"/>
      <c r="D57" s="113"/>
      <c r="E57" s="110"/>
      <c r="F57" s="110"/>
      <c r="G57" s="110"/>
      <c r="H57" s="110"/>
      <c r="I57" s="110"/>
      <c r="J57" s="110"/>
      <c r="K57" s="110"/>
      <c r="L57" s="110"/>
      <c r="M57" s="110"/>
      <c r="N57" s="110"/>
      <c r="O57" s="110"/>
      <c r="P57" s="110"/>
      <c r="Q57" s="110"/>
      <c r="R57" s="110"/>
      <c r="S57" s="110"/>
      <c r="T57" s="110"/>
      <c r="U57" s="110"/>
      <c r="V57" s="110"/>
      <c r="W57" s="110"/>
      <c r="X57" s="110"/>
      <c r="Y57" s="98"/>
      <c r="Z57" s="57"/>
      <c r="AA57" s="57"/>
      <c r="AB57" s="58"/>
      <c r="AC57" s="62" t="b">
        <f t="shared" si="71"/>
        <v>0</v>
      </c>
      <c r="AD57" s="58"/>
      <c r="AE57" s="62" t="b">
        <f t="shared" si="72"/>
        <v>0</v>
      </c>
      <c r="AF57" s="58"/>
      <c r="AG57" s="62" t="b">
        <f t="shared" si="73"/>
        <v>0</v>
      </c>
      <c r="AH57" s="63"/>
      <c r="AI57" s="62" t="b">
        <f t="shared" si="74"/>
        <v>0</v>
      </c>
      <c r="AJ57" s="63"/>
      <c r="AK57" s="58"/>
      <c r="AL57" s="62" t="b">
        <f t="shared" si="75"/>
        <v>0</v>
      </c>
      <c r="AM57" s="64" t="e">
        <f t="shared" si="76"/>
        <v>#DIV/0!</v>
      </c>
      <c r="AN57" s="104"/>
      <c r="AO57" s="107"/>
      <c r="AP57" s="107"/>
      <c r="AQ57" s="110"/>
    </row>
    <row r="58" spans="2:43">
      <c r="B58" s="108"/>
      <c r="C58" s="111"/>
      <c r="D58" s="111"/>
      <c r="E58" s="108"/>
      <c r="F58" s="108"/>
      <c r="G58" s="108"/>
      <c r="H58" s="108"/>
      <c r="I58" s="108"/>
      <c r="J58" s="108"/>
      <c r="K58" s="108"/>
      <c r="L58" s="108"/>
      <c r="M58" s="108"/>
      <c r="N58" s="108"/>
      <c r="O58" s="108"/>
      <c r="P58" s="108"/>
      <c r="Q58" s="108"/>
      <c r="R58" s="108"/>
      <c r="S58" s="108"/>
      <c r="T58" s="108"/>
      <c r="U58" s="108">
        <f t="shared" ref="U58" si="86">IF(T58="Catastrófico",5,IF(T58="Mayor",4,IF(T58="Moderado",3,IF(T58="Menor",2,1))))</f>
        <v>1</v>
      </c>
      <c r="V58" s="108"/>
      <c r="W58" s="108">
        <f t="shared" ref="W58" si="87">IF(V58="Muy probable",5,IF(V58="Probable",4,IF(V58="Moderada",3,IF(V58="Baja",2,1))))</f>
        <v>1</v>
      </c>
      <c r="X58" s="108">
        <f t="shared" ref="X58" si="88">+W58*U58</f>
        <v>1</v>
      </c>
      <c r="Y58" s="96" t="s">
        <v>112</v>
      </c>
      <c r="Z58" s="57"/>
      <c r="AA58" s="57"/>
      <c r="AB58" s="58"/>
      <c r="AC58" s="62" t="b">
        <f t="shared" si="71"/>
        <v>0</v>
      </c>
      <c r="AD58" s="58"/>
      <c r="AE58" s="62" t="b">
        <f t="shared" si="72"/>
        <v>0</v>
      </c>
      <c r="AF58" s="58"/>
      <c r="AG58" s="62" t="b">
        <f t="shared" si="73"/>
        <v>0</v>
      </c>
      <c r="AH58" s="63"/>
      <c r="AI58" s="62" t="b">
        <f t="shared" si="74"/>
        <v>0</v>
      </c>
      <c r="AJ58" s="63"/>
      <c r="AK58" s="58"/>
      <c r="AL58" s="62" t="b">
        <f t="shared" si="75"/>
        <v>0</v>
      </c>
      <c r="AM58" s="64" t="e">
        <f t="shared" si="76"/>
        <v>#DIV/0!</v>
      </c>
      <c r="AN58" s="102"/>
      <c r="AO58" s="105"/>
      <c r="AP58" s="105"/>
      <c r="AQ58" s="108"/>
    </row>
    <row r="59" spans="2:43">
      <c r="B59" s="109"/>
      <c r="C59" s="112"/>
      <c r="D59" s="112"/>
      <c r="E59" s="109"/>
      <c r="F59" s="109"/>
      <c r="G59" s="109"/>
      <c r="H59" s="109"/>
      <c r="I59" s="109"/>
      <c r="J59" s="109"/>
      <c r="K59" s="109"/>
      <c r="L59" s="109"/>
      <c r="M59" s="109"/>
      <c r="N59" s="109"/>
      <c r="O59" s="109"/>
      <c r="P59" s="109"/>
      <c r="Q59" s="109"/>
      <c r="R59" s="109"/>
      <c r="S59" s="109"/>
      <c r="T59" s="109"/>
      <c r="U59" s="109"/>
      <c r="V59" s="109"/>
      <c r="W59" s="109"/>
      <c r="X59" s="109"/>
      <c r="Y59" s="97"/>
      <c r="Z59" s="57"/>
      <c r="AA59" s="57"/>
      <c r="AB59" s="58"/>
      <c r="AC59" s="62" t="b">
        <f t="shared" si="71"/>
        <v>0</v>
      </c>
      <c r="AD59" s="58"/>
      <c r="AE59" s="62" t="b">
        <f t="shared" si="72"/>
        <v>0</v>
      </c>
      <c r="AF59" s="58"/>
      <c r="AG59" s="62" t="b">
        <f t="shared" si="73"/>
        <v>0</v>
      </c>
      <c r="AH59" s="63"/>
      <c r="AI59" s="62" t="b">
        <f t="shared" si="74"/>
        <v>0</v>
      </c>
      <c r="AJ59" s="63"/>
      <c r="AK59" s="58"/>
      <c r="AL59" s="62" t="b">
        <f t="shared" si="75"/>
        <v>0</v>
      </c>
      <c r="AM59" s="64" t="e">
        <f t="shared" si="76"/>
        <v>#DIV/0!</v>
      </c>
      <c r="AN59" s="103"/>
      <c r="AO59" s="106"/>
      <c r="AP59" s="106"/>
      <c r="AQ59" s="109"/>
    </row>
    <row r="60" spans="2:43">
      <c r="B60" s="110"/>
      <c r="C60" s="113"/>
      <c r="D60" s="113"/>
      <c r="E60" s="110"/>
      <c r="F60" s="110"/>
      <c r="G60" s="110"/>
      <c r="H60" s="110"/>
      <c r="I60" s="110"/>
      <c r="J60" s="110"/>
      <c r="K60" s="110"/>
      <c r="L60" s="110"/>
      <c r="M60" s="110"/>
      <c r="N60" s="110"/>
      <c r="O60" s="110"/>
      <c r="P60" s="110"/>
      <c r="Q60" s="110"/>
      <c r="R60" s="110"/>
      <c r="S60" s="110"/>
      <c r="T60" s="110"/>
      <c r="U60" s="110"/>
      <c r="V60" s="110"/>
      <c r="W60" s="110"/>
      <c r="X60" s="110"/>
      <c r="Y60" s="98"/>
      <c r="Z60" s="57"/>
      <c r="AA60" s="57"/>
      <c r="AB60" s="58"/>
      <c r="AC60" s="62" t="b">
        <f t="shared" si="71"/>
        <v>0</v>
      </c>
      <c r="AD60" s="58"/>
      <c r="AE60" s="62" t="b">
        <f t="shared" si="72"/>
        <v>0</v>
      </c>
      <c r="AF60" s="58"/>
      <c r="AG60" s="62" t="b">
        <f t="shared" si="73"/>
        <v>0</v>
      </c>
      <c r="AH60" s="63"/>
      <c r="AI60" s="62" t="b">
        <f t="shared" si="74"/>
        <v>0</v>
      </c>
      <c r="AJ60" s="63"/>
      <c r="AK60" s="58"/>
      <c r="AL60" s="62" t="b">
        <f t="shared" si="75"/>
        <v>0</v>
      </c>
      <c r="AM60" s="64" t="e">
        <f t="shared" si="76"/>
        <v>#DIV/0!</v>
      </c>
      <c r="AN60" s="104"/>
      <c r="AO60" s="107"/>
      <c r="AP60" s="107"/>
      <c r="AQ60" s="110"/>
    </row>
  </sheetData>
  <sheetProtection formatColumns="0" formatRows="0" sort="0" autoFilter="0"/>
  <autoFilter ref="A6:AX15" xr:uid="{00000000-0001-0000-0000-000000000000}">
    <filterColumn colId="11" showButton="0"/>
    <filterColumn colId="27">
      <filters blank="1"/>
    </filterColumn>
  </autoFilter>
  <mergeCells count="545">
    <mergeCell ref="AQ58:AQ60"/>
    <mergeCell ref="T58:T60"/>
    <mergeCell ref="U58:U60"/>
    <mergeCell ref="V58:V60"/>
    <mergeCell ref="W58:W60"/>
    <mergeCell ref="X58:X60"/>
    <mergeCell ref="Y58:Y60"/>
    <mergeCell ref="AN58:AN60"/>
    <mergeCell ref="AO58:AO60"/>
    <mergeCell ref="AP58:AP60"/>
    <mergeCell ref="K58:K60"/>
    <mergeCell ref="L58:L60"/>
    <mergeCell ref="M58:M60"/>
    <mergeCell ref="N58:N60"/>
    <mergeCell ref="O58:O60"/>
    <mergeCell ref="P58:P60"/>
    <mergeCell ref="Q58:Q60"/>
    <mergeCell ref="R58:R60"/>
    <mergeCell ref="S58:S60"/>
    <mergeCell ref="B58:B60"/>
    <mergeCell ref="C58:C60"/>
    <mergeCell ref="D58:D60"/>
    <mergeCell ref="E58:E60"/>
    <mergeCell ref="F58:F60"/>
    <mergeCell ref="G58:G60"/>
    <mergeCell ref="H58:H60"/>
    <mergeCell ref="I58:I60"/>
    <mergeCell ref="J58:J60"/>
    <mergeCell ref="U55:U57"/>
    <mergeCell ref="V55:V57"/>
    <mergeCell ref="W55:W57"/>
    <mergeCell ref="X55:X57"/>
    <mergeCell ref="Y55:Y57"/>
    <mergeCell ref="AN55:AN57"/>
    <mergeCell ref="AO55:AO57"/>
    <mergeCell ref="AP55:AP57"/>
    <mergeCell ref="AQ55:AQ57"/>
    <mergeCell ref="Y52:Y54"/>
    <mergeCell ref="AN52:AN54"/>
    <mergeCell ref="AO52:AO54"/>
    <mergeCell ref="AP52:AP54"/>
    <mergeCell ref="AQ52:AQ54"/>
    <mergeCell ref="B55:B57"/>
    <mergeCell ref="C55:C57"/>
    <mergeCell ref="D55:D57"/>
    <mergeCell ref="E55:E57"/>
    <mergeCell ref="F55:F57"/>
    <mergeCell ref="G55:G57"/>
    <mergeCell ref="H55:H57"/>
    <mergeCell ref="I55:I57"/>
    <mergeCell ref="J55:J57"/>
    <mergeCell ref="K55:K57"/>
    <mergeCell ref="L55:L57"/>
    <mergeCell ref="M55:M57"/>
    <mergeCell ref="N55:N57"/>
    <mergeCell ref="O55:O57"/>
    <mergeCell ref="P55:P57"/>
    <mergeCell ref="Q55:Q57"/>
    <mergeCell ref="R55:R57"/>
    <mergeCell ref="S55:S57"/>
    <mergeCell ref="T55:T57"/>
    <mergeCell ref="AQ49:AQ51"/>
    <mergeCell ref="B52:B54"/>
    <mergeCell ref="C52:C54"/>
    <mergeCell ref="D52:D54"/>
    <mergeCell ref="E52:E54"/>
    <mergeCell ref="F52:F54"/>
    <mergeCell ref="G52:G54"/>
    <mergeCell ref="H52:H54"/>
    <mergeCell ref="I52:I54"/>
    <mergeCell ref="J52:J54"/>
    <mergeCell ref="K52:K54"/>
    <mergeCell ref="L52:L54"/>
    <mergeCell ref="M52:M54"/>
    <mergeCell ref="N52:N54"/>
    <mergeCell ref="O52:O54"/>
    <mergeCell ref="P52:P54"/>
    <mergeCell ref="Q52:Q54"/>
    <mergeCell ref="R52:R54"/>
    <mergeCell ref="S52:S54"/>
    <mergeCell ref="T52:T54"/>
    <mergeCell ref="U52:U54"/>
    <mergeCell ref="V52:V54"/>
    <mergeCell ref="W52:W54"/>
    <mergeCell ref="X52:X54"/>
    <mergeCell ref="T49:T51"/>
    <mergeCell ref="U49:U51"/>
    <mergeCell ref="V49:V51"/>
    <mergeCell ref="W49:W51"/>
    <mergeCell ref="X49:X51"/>
    <mergeCell ref="Y49:Y51"/>
    <mergeCell ref="AN49:AN51"/>
    <mergeCell ref="AO49:AO51"/>
    <mergeCell ref="AP49:AP51"/>
    <mergeCell ref="K49:K51"/>
    <mergeCell ref="L49:L51"/>
    <mergeCell ref="M49:M51"/>
    <mergeCell ref="N49:N51"/>
    <mergeCell ref="O49:O51"/>
    <mergeCell ref="P49:P51"/>
    <mergeCell ref="Q49:Q51"/>
    <mergeCell ref="R49:R51"/>
    <mergeCell ref="S49:S51"/>
    <mergeCell ref="B49:B51"/>
    <mergeCell ref="C49:C51"/>
    <mergeCell ref="D49:D51"/>
    <mergeCell ref="E49:E51"/>
    <mergeCell ref="F49:F51"/>
    <mergeCell ref="G49:G51"/>
    <mergeCell ref="H49:H51"/>
    <mergeCell ref="I49:I51"/>
    <mergeCell ref="J49:J51"/>
    <mergeCell ref="U46:U48"/>
    <mergeCell ref="V46:V48"/>
    <mergeCell ref="W46:W48"/>
    <mergeCell ref="X46:X48"/>
    <mergeCell ref="Y46:Y48"/>
    <mergeCell ref="AN46:AN48"/>
    <mergeCell ref="AO46:AO48"/>
    <mergeCell ref="AP46:AP48"/>
    <mergeCell ref="AQ46:AQ48"/>
    <mergeCell ref="Y43:Y45"/>
    <mergeCell ref="AN43:AN45"/>
    <mergeCell ref="AO43:AO45"/>
    <mergeCell ref="AP43:AP45"/>
    <mergeCell ref="AQ43:AQ45"/>
    <mergeCell ref="B46:B48"/>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R46:R48"/>
    <mergeCell ref="S46:S48"/>
    <mergeCell ref="T46:T48"/>
    <mergeCell ref="AQ40:AQ42"/>
    <mergeCell ref="B43:B45"/>
    <mergeCell ref="C43:C45"/>
    <mergeCell ref="D43:D45"/>
    <mergeCell ref="E43:E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T40:T42"/>
    <mergeCell ref="U40:U42"/>
    <mergeCell ref="V40:V42"/>
    <mergeCell ref="W40:W42"/>
    <mergeCell ref="X40:X42"/>
    <mergeCell ref="Y40:Y42"/>
    <mergeCell ref="AN40:AN42"/>
    <mergeCell ref="AO40:AO42"/>
    <mergeCell ref="AP40:AP42"/>
    <mergeCell ref="X37:X39"/>
    <mergeCell ref="Y37:Y39"/>
    <mergeCell ref="AN37:AN39"/>
    <mergeCell ref="AO37:AO39"/>
    <mergeCell ref="AP37:AP39"/>
    <mergeCell ref="AQ37:AQ39"/>
    <mergeCell ref="B40:B42"/>
    <mergeCell ref="C40:C42"/>
    <mergeCell ref="D40:D42"/>
    <mergeCell ref="E40:E42"/>
    <mergeCell ref="F40:F42"/>
    <mergeCell ref="G40:G42"/>
    <mergeCell ref="H40:H42"/>
    <mergeCell ref="I40:I42"/>
    <mergeCell ref="J40:J42"/>
    <mergeCell ref="K40:K42"/>
    <mergeCell ref="L40:L42"/>
    <mergeCell ref="M40:M42"/>
    <mergeCell ref="N40:N42"/>
    <mergeCell ref="O40:O42"/>
    <mergeCell ref="P40:P42"/>
    <mergeCell ref="Q40:Q42"/>
    <mergeCell ref="R40:R42"/>
    <mergeCell ref="S40:S42"/>
    <mergeCell ref="AP34:AP36"/>
    <mergeCell ref="AQ34:AQ36"/>
    <mergeCell ref="B37:B39"/>
    <mergeCell ref="C37:C39"/>
    <mergeCell ref="D37:D39"/>
    <mergeCell ref="E37:E39"/>
    <mergeCell ref="F37:F39"/>
    <mergeCell ref="G37:G39"/>
    <mergeCell ref="H37:H39"/>
    <mergeCell ref="I37:I39"/>
    <mergeCell ref="J37:J39"/>
    <mergeCell ref="K37:K39"/>
    <mergeCell ref="L37:L39"/>
    <mergeCell ref="M37:M39"/>
    <mergeCell ref="N37:N39"/>
    <mergeCell ref="O37:O39"/>
    <mergeCell ref="P37:P39"/>
    <mergeCell ref="Q37:Q39"/>
    <mergeCell ref="R37:R39"/>
    <mergeCell ref="S37:S39"/>
    <mergeCell ref="T37:T39"/>
    <mergeCell ref="U37:U39"/>
    <mergeCell ref="V37:V39"/>
    <mergeCell ref="W37:W39"/>
    <mergeCell ref="S34:S36"/>
    <mergeCell ref="T34:T36"/>
    <mergeCell ref="U34:U36"/>
    <mergeCell ref="V34:V36"/>
    <mergeCell ref="W34:W36"/>
    <mergeCell ref="X34:X36"/>
    <mergeCell ref="Y34:Y36"/>
    <mergeCell ref="AN34:AN36"/>
    <mergeCell ref="AO34:AO36"/>
    <mergeCell ref="W31:W33"/>
    <mergeCell ref="X31:X33"/>
    <mergeCell ref="Y31:Y33"/>
    <mergeCell ref="AN31:AN33"/>
    <mergeCell ref="AO31:AO33"/>
    <mergeCell ref="AP31:AP33"/>
    <mergeCell ref="AQ31:AQ33"/>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R34:R36"/>
    <mergeCell ref="AO28:AO30"/>
    <mergeCell ref="AP28:AP30"/>
    <mergeCell ref="AQ28:AQ30"/>
    <mergeCell ref="B31:B33"/>
    <mergeCell ref="C31:C33"/>
    <mergeCell ref="D31:D33"/>
    <mergeCell ref="E31:E33"/>
    <mergeCell ref="F31:F33"/>
    <mergeCell ref="G31:G33"/>
    <mergeCell ref="H31:H33"/>
    <mergeCell ref="I31:I33"/>
    <mergeCell ref="J31:J33"/>
    <mergeCell ref="K31:K33"/>
    <mergeCell ref="L31:L33"/>
    <mergeCell ref="M31:M33"/>
    <mergeCell ref="N31:N33"/>
    <mergeCell ref="O31:O33"/>
    <mergeCell ref="P31:P33"/>
    <mergeCell ref="Q31:Q33"/>
    <mergeCell ref="R31:R33"/>
    <mergeCell ref="S31:S33"/>
    <mergeCell ref="T31:T33"/>
    <mergeCell ref="U31:U33"/>
    <mergeCell ref="V31:V33"/>
    <mergeCell ref="R28:R30"/>
    <mergeCell ref="S28:S30"/>
    <mergeCell ref="T28:T30"/>
    <mergeCell ref="U28:U30"/>
    <mergeCell ref="V28:V30"/>
    <mergeCell ref="W28:W30"/>
    <mergeCell ref="X28:X30"/>
    <mergeCell ref="Y28:Y30"/>
    <mergeCell ref="AN28:AN30"/>
    <mergeCell ref="O5:Q5"/>
    <mergeCell ref="B28:B30"/>
    <mergeCell ref="C28:C30"/>
    <mergeCell ref="D28:D30"/>
    <mergeCell ref="E28:E30"/>
    <mergeCell ref="F28:F30"/>
    <mergeCell ref="G28:G30"/>
    <mergeCell ref="H28:H30"/>
    <mergeCell ref="I28:I30"/>
    <mergeCell ref="J28:J30"/>
    <mergeCell ref="K28:K30"/>
    <mergeCell ref="L28:L30"/>
    <mergeCell ref="M28:M30"/>
    <mergeCell ref="N28:N30"/>
    <mergeCell ref="O28:O30"/>
    <mergeCell ref="P28:P30"/>
    <mergeCell ref="Q28:Q30"/>
    <mergeCell ref="B5:B6"/>
    <mergeCell ref="C5:C6"/>
    <mergeCell ref="D5:D6"/>
    <mergeCell ref="E5:E6"/>
    <mergeCell ref="F5:F6"/>
    <mergeCell ref="G5:G6"/>
    <mergeCell ref="H5:H6"/>
    <mergeCell ref="Z4:AT4"/>
    <mergeCell ref="AU4:AX4"/>
    <mergeCell ref="AX5:AX6"/>
    <mergeCell ref="Z5:AM5"/>
    <mergeCell ref="AN5:AQ5"/>
    <mergeCell ref="AR5:AT5"/>
    <mergeCell ref="AU5:AU6"/>
    <mergeCell ref="AV5:AV6"/>
    <mergeCell ref="AW5:AW6"/>
    <mergeCell ref="AX7:AX9"/>
    <mergeCell ref="AR7:AR9"/>
    <mergeCell ref="AS7:AS9"/>
    <mergeCell ref="AT7:AT9"/>
    <mergeCell ref="AU7:AU9"/>
    <mergeCell ref="AW7:AW9"/>
    <mergeCell ref="AV7:AV9"/>
    <mergeCell ref="I2:P2"/>
    <mergeCell ref="S4:Y4"/>
    <mergeCell ref="K5:K6"/>
    <mergeCell ref="L5:M6"/>
    <mergeCell ref="N5:N6"/>
    <mergeCell ref="C4:R4"/>
    <mergeCell ref="V5:W5"/>
    <mergeCell ref="X5:Y5"/>
    <mergeCell ref="R5:R6"/>
    <mergeCell ref="S5:U5"/>
    <mergeCell ref="P7:P9"/>
    <mergeCell ref="W7:W9"/>
    <mergeCell ref="X7:X9"/>
    <mergeCell ref="Y7:Y9"/>
    <mergeCell ref="Q7:Q9"/>
    <mergeCell ref="R7:R9"/>
    <mergeCell ref="S7:S9"/>
    <mergeCell ref="I5:I6"/>
    <mergeCell ref="J5:J6"/>
    <mergeCell ref="T7:T9"/>
    <mergeCell ref="U7:U9"/>
    <mergeCell ref="V7:V9"/>
    <mergeCell ref="B10:B12"/>
    <mergeCell ref="C10:C12"/>
    <mergeCell ref="D10:D12"/>
    <mergeCell ref="E10:E12"/>
    <mergeCell ref="F10:F12"/>
    <mergeCell ref="L7:L9"/>
    <mergeCell ref="M7:M9"/>
    <mergeCell ref="N7:N9"/>
    <mergeCell ref="O7:O9"/>
    <mergeCell ref="G7:G9"/>
    <mergeCell ref="H7:H9"/>
    <mergeCell ref="I7:I9"/>
    <mergeCell ref="J7:J9"/>
    <mergeCell ref="K7:K9"/>
    <mergeCell ref="B7:B9"/>
    <mergeCell ref="C7:C9"/>
    <mergeCell ref="D7:D9"/>
    <mergeCell ref="E7:E9"/>
    <mergeCell ref="F7:F9"/>
    <mergeCell ref="L10:L12"/>
    <mergeCell ref="M10:M12"/>
    <mergeCell ref="N10:N12"/>
    <mergeCell ref="O10:O12"/>
    <mergeCell ref="P10:P12"/>
    <mergeCell ref="G10:G12"/>
    <mergeCell ref="H10:H12"/>
    <mergeCell ref="I10:I12"/>
    <mergeCell ref="J10:J12"/>
    <mergeCell ref="K10:K12"/>
    <mergeCell ref="V10:V12"/>
    <mergeCell ref="W10:W12"/>
    <mergeCell ref="X10:X12"/>
    <mergeCell ref="Y10:Y12"/>
    <mergeCell ref="Y13:Y15"/>
    <mergeCell ref="V13:V15"/>
    <mergeCell ref="W13:W15"/>
    <mergeCell ref="X13:X15"/>
    <mergeCell ref="Q10:Q12"/>
    <mergeCell ref="R10:R12"/>
    <mergeCell ref="S10:S12"/>
    <mergeCell ref="T10:T12"/>
    <mergeCell ref="U10:U12"/>
    <mergeCell ref="G13:G15"/>
    <mergeCell ref="H13:H15"/>
    <mergeCell ref="I13:I15"/>
    <mergeCell ref="J13:J15"/>
    <mergeCell ref="K13:K15"/>
    <mergeCell ref="B13:B15"/>
    <mergeCell ref="C13:C15"/>
    <mergeCell ref="D13:D15"/>
    <mergeCell ref="E13:E15"/>
    <mergeCell ref="F13:F15"/>
    <mergeCell ref="AX13:AX15"/>
    <mergeCell ref="AR13:AR15"/>
    <mergeCell ref="AS13:AS15"/>
    <mergeCell ref="Q13:Q15"/>
    <mergeCell ref="R13:R15"/>
    <mergeCell ref="S13:S15"/>
    <mergeCell ref="T13:T15"/>
    <mergeCell ref="U13:U15"/>
    <mergeCell ref="L13:L15"/>
    <mergeCell ref="M13:M15"/>
    <mergeCell ref="N13:N15"/>
    <mergeCell ref="O13:O15"/>
    <mergeCell ref="P13:P15"/>
    <mergeCell ref="Q16:Q18"/>
    <mergeCell ref="R16:R18"/>
    <mergeCell ref="S16:S18"/>
    <mergeCell ref="T16:T18"/>
    <mergeCell ref="U16:U18"/>
    <mergeCell ref="B16:B18"/>
    <mergeCell ref="C16:C18"/>
    <mergeCell ref="D16:D18"/>
    <mergeCell ref="E16:E18"/>
    <mergeCell ref="F16:F18"/>
    <mergeCell ref="G16:G18"/>
    <mergeCell ref="H16:H18"/>
    <mergeCell ref="I16:I18"/>
    <mergeCell ref="J16:J18"/>
    <mergeCell ref="K16:K18"/>
    <mergeCell ref="L16:L18"/>
    <mergeCell ref="M16:M18"/>
    <mergeCell ref="N16:N18"/>
    <mergeCell ref="O16:O18"/>
    <mergeCell ref="P16:P18"/>
    <mergeCell ref="B19:B21"/>
    <mergeCell ref="C19:C21"/>
    <mergeCell ref="D19:D21"/>
    <mergeCell ref="E19:E21"/>
    <mergeCell ref="F19:F21"/>
    <mergeCell ref="G19:G21"/>
    <mergeCell ref="H19:H21"/>
    <mergeCell ref="I19:I21"/>
    <mergeCell ref="J19:J21"/>
    <mergeCell ref="N19:N21"/>
    <mergeCell ref="O19:O21"/>
    <mergeCell ref="P19:P21"/>
    <mergeCell ref="Q19:Q21"/>
    <mergeCell ref="R19:R21"/>
    <mergeCell ref="K19:K21"/>
    <mergeCell ref="L19:L21"/>
    <mergeCell ref="M19:M21"/>
    <mergeCell ref="T22:T24"/>
    <mergeCell ref="AQ19:AQ21"/>
    <mergeCell ref="X19:X21"/>
    <mergeCell ref="Y19:Y21"/>
    <mergeCell ref="AN19:AN21"/>
    <mergeCell ref="AO19:AO21"/>
    <mergeCell ref="AP19:AP21"/>
    <mergeCell ref="S19:S21"/>
    <mergeCell ref="T19:T21"/>
    <mergeCell ref="U19:U21"/>
    <mergeCell ref="V19:V21"/>
    <mergeCell ref="W19:W21"/>
    <mergeCell ref="V22:V24"/>
    <mergeCell ref="W22:W24"/>
    <mergeCell ref="X22:X24"/>
    <mergeCell ref="O22:O24"/>
    <mergeCell ref="P22:P24"/>
    <mergeCell ref="Q22:Q24"/>
    <mergeCell ref="R22:R24"/>
    <mergeCell ref="S22:S24"/>
    <mergeCell ref="B22:B24"/>
    <mergeCell ref="C22:C24"/>
    <mergeCell ref="D22:D24"/>
    <mergeCell ref="E22:E24"/>
    <mergeCell ref="F22:F24"/>
    <mergeCell ref="G22:G24"/>
    <mergeCell ref="H22:H24"/>
    <mergeCell ref="I22:I24"/>
    <mergeCell ref="J22:J24"/>
    <mergeCell ref="K22:K24"/>
    <mergeCell ref="L22:L24"/>
    <mergeCell ref="M22:M24"/>
    <mergeCell ref="N22:N24"/>
    <mergeCell ref="P25:P27"/>
    <mergeCell ref="Q25:Q27"/>
    <mergeCell ref="R25:R27"/>
    <mergeCell ref="S25:S27"/>
    <mergeCell ref="T25:T27"/>
    <mergeCell ref="B25:B27"/>
    <mergeCell ref="C25:C27"/>
    <mergeCell ref="D25:D27"/>
    <mergeCell ref="E25:E27"/>
    <mergeCell ref="F25:F27"/>
    <mergeCell ref="G25:G27"/>
    <mergeCell ref="H25:H27"/>
    <mergeCell ref="I25:I27"/>
    <mergeCell ref="J25:J27"/>
    <mergeCell ref="K25:K27"/>
    <mergeCell ref="L25:L27"/>
    <mergeCell ref="M25:M27"/>
    <mergeCell ref="N25:N27"/>
    <mergeCell ref="O25:O27"/>
    <mergeCell ref="AX16:AX27"/>
    <mergeCell ref="AN25:AN27"/>
    <mergeCell ref="AO25:AO27"/>
    <mergeCell ref="AP25:AP27"/>
    <mergeCell ref="AQ25:AQ27"/>
    <mergeCell ref="U25:U27"/>
    <mergeCell ref="V25:V27"/>
    <mergeCell ref="W25:W27"/>
    <mergeCell ref="X25:X27"/>
    <mergeCell ref="Y25:Y27"/>
    <mergeCell ref="Y22:Y24"/>
    <mergeCell ref="AN22:AN24"/>
    <mergeCell ref="AO22:AO24"/>
    <mergeCell ref="AP22:AP24"/>
    <mergeCell ref="AQ22:AQ24"/>
    <mergeCell ref="AO16:AO18"/>
    <mergeCell ref="AP16:AP18"/>
    <mergeCell ref="AQ16:AQ18"/>
    <mergeCell ref="V16:V18"/>
    <mergeCell ref="W16:W18"/>
    <mergeCell ref="X16:X18"/>
    <mergeCell ref="Y16:Y18"/>
    <mergeCell ref="AN16:AN18"/>
    <mergeCell ref="U22:U24"/>
    <mergeCell ref="AR10:AR12"/>
    <mergeCell ref="AS10:AS12"/>
    <mergeCell ref="AT10:AT12"/>
    <mergeCell ref="AR16:AR27"/>
    <mergeCell ref="AS16:AS27"/>
    <mergeCell ref="AT16:AT27"/>
    <mergeCell ref="AU16:AU27"/>
    <mergeCell ref="AV16:AV27"/>
    <mergeCell ref="AW16:AW27"/>
    <mergeCell ref="AT13:AT15"/>
    <mergeCell ref="AU13:AU15"/>
    <mergeCell ref="AV13:AV15"/>
    <mergeCell ref="AW13:AW15"/>
  </mergeCells>
  <conditionalFormatting sqref="Y7 Y10 Y13 AS13:AT13 Y16 AS16:AT16 Y19 Y22 Y25 Y28 Y31 Y34 Y37 Y40 Y43 Y46 Y49 Y52 Y55 Y58">
    <cfRule type="cellIs" dxfId="11" priority="13" operator="equal">
      <formula>"Bajo"</formula>
    </cfRule>
    <cfRule type="cellIs" dxfId="10" priority="14" operator="equal">
      <formula>"Moderado"</formula>
    </cfRule>
    <cfRule type="cellIs" dxfId="9" priority="15" operator="equal">
      <formula>"Alto"</formula>
    </cfRule>
    <cfRule type="cellIs" dxfId="8" priority="16" operator="equal">
      <formula>"Extremo"</formula>
    </cfRule>
  </conditionalFormatting>
  <conditionalFormatting sqref="AS10:AT10">
    <cfRule type="cellIs" dxfId="7" priority="1" operator="equal">
      <formula>"Bajo"</formula>
    </cfRule>
    <cfRule type="cellIs" dxfId="6" priority="2" operator="equal">
      <formula>"Moderado"</formula>
    </cfRule>
    <cfRule type="cellIs" dxfId="5" priority="3" operator="equal">
      <formula>"Alto"</formula>
    </cfRule>
    <cfRule type="cellIs" dxfId="4" priority="4" operator="equal">
      <formula>"Extremo"</formula>
    </cfRule>
  </conditionalFormatting>
  <conditionalFormatting sqref="AS7:AX7">
    <cfRule type="cellIs" dxfId="3" priority="9" operator="equal">
      <formula>"Bajo"</formula>
    </cfRule>
    <cfRule type="cellIs" dxfId="2" priority="10" operator="equal">
      <formula>"Moderado"</formula>
    </cfRule>
    <cfRule type="cellIs" dxfId="1" priority="11" operator="equal">
      <formula>"Alto"</formula>
    </cfRule>
    <cfRule type="cellIs" dxfId="0" priority="12" operator="equal">
      <formula>"Extremo"</formula>
    </cfRule>
  </conditionalFormatting>
  <dataValidations count="3">
    <dataValidation type="list" allowBlank="1" showInputMessage="1" showErrorMessage="1" sqref="AW16 AW7:AW13 AH16:AH60 AH7:AH13" xr:uid="{A16A0134-827E-4281-B18C-697D8E17F603}">
      <formula1>"SI,NO"</formula1>
    </dataValidation>
    <dataValidation type="list" allowBlank="1" showInputMessage="1" showErrorMessage="1" sqref="AO7:AO13 AO16 AO19 AO22 AO25 AO28 AO31 AO34 AO37 AO40 AO43 AO46 AO49 AO52 AO55 AO58" xr:uid="{36932253-B0A7-4594-A035-07C3A1FFC6CA}">
      <formula1>"Impacto,Probabilidad,Impacto y Probabilidad"</formula1>
    </dataValidation>
    <dataValidation type="list" allowBlank="1" showInputMessage="1" showErrorMessage="1" sqref="AP7:AP13 AP16 AP19 AP22 AP25 AP28 AP31 AP34 AP37 AP40 AP43 AP46 AP49 AP52 AP55 AP58" xr:uid="{3A23F88F-BEA4-495F-B944-296A3023327D}">
      <formula1>"20%,40%,60%,80%,100%"</formula1>
    </dataValidation>
  </dataValidations>
  <pageMargins left="0.70866141732283472" right="0.70866141732283472" top="1.2036231884057971" bottom="0.82677165354330717" header="0.39370078740157483" footer="0.39370078740157483"/>
  <pageSetup scale="88" orientation="landscape" r:id="rId1"/>
  <headerFooter>
    <oddHeader xml:space="preserve">&amp;L
&amp;G&amp;R&amp;"Arial,Negrita"&amp;16
MATRIZ DE RIESGOS OPERACIONALES
</oddHeader>
    <oddFooter>&amp;LF.XX.XXX.XXX&amp;CFecha de Publicación: xx de xxxx de xxxx&amp;R
&amp;P de &amp;N</oddFooter>
  </headerFooter>
  <drawing r:id="rId2"/>
  <legacyDrawing r:id="rId3"/>
  <legacyDrawingHF r:id="rId4"/>
  <extLst>
    <ext xmlns:x14="http://schemas.microsoft.com/office/spreadsheetml/2009/9/main" uri="{CCE6A557-97BC-4b89-ADB6-D9C93CAAB3DF}">
      <x14:dataValidations xmlns:xm="http://schemas.microsoft.com/office/excel/2006/main" count="4">
        <x14:dataValidation type="list" allowBlank="1" showInputMessage="1" showErrorMessage="1" xr:uid="{0D3780D2-947C-4453-95C3-A86C96462DFA}">
          <x14:formula1>
            <xm:f>CONTROLES!$Q$3:$Q$8</xm:f>
          </x14:formula1>
          <xm:sqref>AK7:AK16 AK19 AK22 AK25 AK28 AK31 AK34 AK37 AK40 AK43 AK46 AK49 AK52 AK55 AK58</xm:sqref>
        </x14:dataValidation>
        <x14:dataValidation type="list" allowBlank="1" showInputMessage="1" showErrorMessage="1" xr:uid="{F6E5C1FA-8E5D-4DA6-9C7B-B8592358C75C}">
          <x14:formula1>
            <xm:f>CONTROLES!$A$3:$A$5</xm:f>
          </x14:formula1>
          <xm:sqref>AB7:AB60</xm:sqref>
        </x14:dataValidation>
        <x14:dataValidation type="list" allowBlank="1" showInputMessage="1" showErrorMessage="1" xr:uid="{5C9CA52A-3C88-42B4-A5D4-977EE49C0023}">
          <x14:formula1>
            <xm:f>CONTROLES!$E$3:$E$5</xm:f>
          </x14:formula1>
          <xm:sqref>AD25 AD19 AD22 AD7:AD16 AD28 AD31 AD34 AD37 AD40 AD43 AD46 AD49 AD52 AD55 AD58</xm:sqref>
        </x14:dataValidation>
        <x14:dataValidation type="list" allowBlank="1" showInputMessage="1" showErrorMessage="1" xr:uid="{DAD08678-859C-46FC-888B-D038C4249C14}">
          <x14:formula1>
            <xm:f>CONTROLES!$I$3:$I$5</xm:f>
          </x14:formula1>
          <xm:sqref>AF7:AF16 AF19 AF22 AF25 AF28 AF31 AF34 AF37 AF40 AF43 AF46 AF49 AF52 AF55 AF58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showRowColHeaders="0" zoomScale="80" zoomScaleNormal="80" workbookViewId="0">
      <selection activeCell="H28" sqref="H28"/>
    </sheetView>
  </sheetViews>
  <sheetFormatPr defaultColWidth="11.42578125" defaultRowHeight="12.6"/>
  <cols>
    <col min="1" max="1" width="5.5703125" customWidth="1"/>
    <col min="2" max="2" width="8" style="14" customWidth="1"/>
    <col min="3" max="3" width="12.140625" customWidth="1"/>
    <col min="4" max="8" width="14.7109375" style="15" customWidth="1"/>
    <col min="9" max="9" width="4" customWidth="1"/>
    <col min="10" max="10" width="5.5703125" customWidth="1"/>
    <col min="11" max="11" width="9.140625" customWidth="1"/>
    <col min="12" max="12" width="12.5703125" customWidth="1"/>
    <col min="13" max="17" width="14.7109375" customWidth="1"/>
    <col min="18" max="18" width="15.5703125" customWidth="1"/>
  </cols>
  <sheetData>
    <row r="1" spans="1:17" ht="6.75" customHeight="1"/>
    <row r="2" spans="1:17" ht="41.25" customHeight="1">
      <c r="B2" s="143" t="s">
        <v>113</v>
      </c>
      <c r="C2" s="144"/>
      <c r="D2" s="144"/>
      <c r="E2" s="144"/>
      <c r="F2" s="144"/>
      <c r="G2" s="144"/>
      <c r="H2" s="145"/>
      <c r="I2" s="13"/>
      <c r="J2" s="13"/>
      <c r="K2" s="143" t="s">
        <v>114</v>
      </c>
      <c r="L2" s="144"/>
      <c r="M2" s="144"/>
      <c r="N2" s="144"/>
      <c r="O2" s="144"/>
      <c r="P2" s="144"/>
      <c r="Q2" s="145"/>
    </row>
    <row r="3" spans="1:17" ht="10.5" customHeight="1">
      <c r="B3" s="17"/>
      <c r="C3" s="16"/>
      <c r="D3" s="16"/>
      <c r="E3" s="16"/>
      <c r="F3" s="16"/>
      <c r="G3" s="16"/>
      <c r="H3" s="16"/>
      <c r="K3" s="17"/>
      <c r="L3" s="16"/>
      <c r="M3" s="16"/>
      <c r="N3" s="16"/>
      <c r="O3" s="16"/>
      <c r="P3" s="16"/>
      <c r="Q3" s="16"/>
    </row>
    <row r="4" spans="1:17" ht="46.5" customHeight="1">
      <c r="A4" s="146" t="s">
        <v>19</v>
      </c>
      <c r="B4" s="22">
        <v>5</v>
      </c>
      <c r="C4" s="30" t="s">
        <v>115</v>
      </c>
      <c r="D4" s="25"/>
      <c r="E4" s="31"/>
      <c r="F4" s="27"/>
      <c r="G4" s="27"/>
      <c r="H4" s="27"/>
      <c r="I4" s="13"/>
      <c r="J4" s="146" t="s">
        <v>19</v>
      </c>
      <c r="K4" s="22">
        <v>5</v>
      </c>
      <c r="L4" s="30" t="s">
        <v>115</v>
      </c>
      <c r="M4" s="25"/>
      <c r="N4" s="31"/>
      <c r="O4" s="27"/>
      <c r="P4" s="27"/>
      <c r="Q4" s="27"/>
    </row>
    <row r="5" spans="1:17" ht="46.5" customHeight="1">
      <c r="A5" s="146"/>
      <c r="B5" s="32">
        <v>4</v>
      </c>
      <c r="C5" s="30" t="s">
        <v>116</v>
      </c>
      <c r="D5" s="29"/>
      <c r="E5" s="25"/>
      <c r="F5" s="33"/>
      <c r="G5" s="27"/>
      <c r="H5" s="27"/>
      <c r="I5" s="13"/>
      <c r="J5" s="146"/>
      <c r="K5" s="32">
        <v>4</v>
      </c>
      <c r="L5" s="30" t="s">
        <v>116</v>
      </c>
      <c r="M5" s="29"/>
      <c r="N5" s="25"/>
      <c r="O5" s="26"/>
      <c r="P5" s="27"/>
      <c r="Q5" s="27"/>
    </row>
    <row r="6" spans="1:17" ht="46.5" customHeight="1">
      <c r="A6" s="146"/>
      <c r="B6" s="32">
        <v>3</v>
      </c>
      <c r="C6" s="30" t="s">
        <v>117</v>
      </c>
      <c r="D6" s="29"/>
      <c r="E6" s="25"/>
      <c r="F6" s="33"/>
      <c r="G6" s="34"/>
      <c r="H6" s="27"/>
      <c r="I6" s="13"/>
      <c r="J6" s="146"/>
      <c r="K6" s="32">
        <v>3</v>
      </c>
      <c r="L6" s="30" t="s">
        <v>117</v>
      </c>
      <c r="M6" s="29"/>
      <c r="N6" s="25"/>
      <c r="O6" s="33"/>
      <c r="P6" s="34"/>
      <c r="Q6" s="27"/>
    </row>
    <row r="7" spans="1:17" ht="46.5" customHeight="1">
      <c r="A7" s="146"/>
      <c r="B7" s="32">
        <v>2</v>
      </c>
      <c r="C7" s="30" t="s">
        <v>118</v>
      </c>
      <c r="D7" s="29"/>
      <c r="E7" s="29"/>
      <c r="F7" s="25"/>
      <c r="G7" s="26"/>
      <c r="H7" s="27"/>
      <c r="I7" s="13"/>
      <c r="J7" s="146"/>
      <c r="K7" s="32">
        <v>2</v>
      </c>
      <c r="L7" s="30" t="s">
        <v>118</v>
      </c>
      <c r="M7" s="29"/>
      <c r="N7" s="29"/>
      <c r="O7" s="25"/>
      <c r="P7" s="26"/>
      <c r="Q7" s="27"/>
    </row>
    <row r="8" spans="1:17" ht="46.5" customHeight="1">
      <c r="A8" s="146"/>
      <c r="B8" s="32">
        <v>1</v>
      </c>
      <c r="C8" s="30" t="s">
        <v>119</v>
      </c>
      <c r="D8" s="35"/>
      <c r="E8" s="29"/>
      <c r="F8" s="35"/>
      <c r="G8" s="36"/>
      <c r="H8" s="26"/>
      <c r="I8" s="13"/>
      <c r="J8" s="146"/>
      <c r="K8" s="32">
        <v>1</v>
      </c>
      <c r="L8" s="30" t="s">
        <v>119</v>
      </c>
      <c r="M8" s="35" t="s">
        <v>120</v>
      </c>
      <c r="N8" s="29"/>
      <c r="O8" s="35" t="s">
        <v>120</v>
      </c>
      <c r="P8" s="36" t="s">
        <v>121</v>
      </c>
      <c r="Q8" s="26"/>
    </row>
    <row r="9" spans="1:17" ht="24" customHeight="1">
      <c r="A9" s="146"/>
      <c r="B9" s="32"/>
      <c r="C9" s="28"/>
      <c r="D9" s="37" t="s">
        <v>122</v>
      </c>
      <c r="E9" s="37" t="s">
        <v>123</v>
      </c>
      <c r="F9" s="37" t="s">
        <v>124</v>
      </c>
      <c r="G9" s="37" t="s">
        <v>125</v>
      </c>
      <c r="H9" s="37" t="s">
        <v>126</v>
      </c>
      <c r="I9" s="13"/>
      <c r="J9" s="146"/>
      <c r="K9" s="32"/>
      <c r="L9" s="28"/>
      <c r="M9" s="37" t="s">
        <v>122</v>
      </c>
      <c r="N9" s="37" t="s">
        <v>123</v>
      </c>
      <c r="O9" s="37" t="s">
        <v>124</v>
      </c>
      <c r="P9" s="37" t="s">
        <v>125</v>
      </c>
      <c r="Q9" s="37" t="s">
        <v>126</v>
      </c>
    </row>
    <row r="10" spans="1:17" ht="15" customHeight="1">
      <c r="A10" s="146"/>
      <c r="B10" s="32"/>
      <c r="C10" s="28"/>
      <c r="D10" s="32">
        <v>1</v>
      </c>
      <c r="E10" s="32">
        <v>2</v>
      </c>
      <c r="F10" s="32">
        <v>3</v>
      </c>
      <c r="G10" s="32">
        <v>4</v>
      </c>
      <c r="H10" s="32">
        <v>5</v>
      </c>
      <c r="I10" s="13"/>
      <c r="J10" s="146"/>
      <c r="K10" s="32"/>
      <c r="L10" s="28"/>
      <c r="M10" s="32">
        <v>1</v>
      </c>
      <c r="N10" s="32">
        <v>2</v>
      </c>
      <c r="O10" s="32">
        <v>3</v>
      </c>
      <c r="P10" s="32">
        <v>4</v>
      </c>
      <c r="Q10" s="32">
        <v>5</v>
      </c>
    </row>
    <row r="11" spans="1:17">
      <c r="A11" s="83"/>
      <c r="B11" s="84"/>
      <c r="C11" s="83"/>
      <c r="D11" s="83"/>
      <c r="E11" s="83"/>
      <c r="F11" s="83"/>
      <c r="G11" s="83"/>
      <c r="H11" s="83"/>
      <c r="J11" s="83"/>
      <c r="K11" s="84"/>
      <c r="L11" s="83"/>
      <c r="M11" s="83"/>
      <c r="N11" s="83"/>
      <c r="O11" s="83"/>
      <c r="P11" s="83"/>
      <c r="Q11" s="83"/>
    </row>
    <row r="12" spans="1:17" ht="12.95">
      <c r="A12" s="83"/>
      <c r="B12" s="84"/>
      <c r="C12" s="83"/>
      <c r="D12" s="147" t="s">
        <v>18</v>
      </c>
      <c r="E12" s="147"/>
      <c r="F12" s="147"/>
      <c r="G12" s="147"/>
      <c r="H12" s="147"/>
      <c r="J12" s="83"/>
      <c r="K12" s="84"/>
      <c r="L12" s="83"/>
      <c r="M12" s="147" t="s">
        <v>18</v>
      </c>
      <c r="N12" s="147"/>
      <c r="O12" s="147"/>
      <c r="P12" s="147"/>
      <c r="Q12" s="147"/>
    </row>
  </sheetData>
  <mergeCells count="6">
    <mergeCell ref="B2:H2"/>
    <mergeCell ref="A4:A10"/>
    <mergeCell ref="D12:H12"/>
    <mergeCell ref="K2:Q2"/>
    <mergeCell ref="M12:Q12"/>
    <mergeCell ref="J4:J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8"/>
  <sheetViews>
    <sheetView showGridLines="0" zoomScale="85" zoomScaleNormal="85" workbookViewId="0"/>
  </sheetViews>
  <sheetFormatPr defaultColWidth="11.42578125" defaultRowHeight="12.6"/>
  <cols>
    <col min="1" max="1" width="12.28515625" bestFit="1" customWidth="1"/>
    <col min="2" max="2" width="59.28515625" bestFit="1" customWidth="1"/>
    <col min="3" max="3" width="4.85546875" style="19" bestFit="1" customWidth="1"/>
    <col min="4" max="4" width="3.5703125" customWidth="1"/>
    <col min="5" max="5" width="10.42578125" bestFit="1" customWidth="1"/>
    <col min="6" max="6" width="42" bestFit="1" customWidth="1"/>
    <col min="7" max="7" width="4.85546875" bestFit="1" customWidth="1"/>
    <col min="8" max="8" width="3.5703125" customWidth="1"/>
    <col min="9" max="9" width="10.140625" bestFit="1" customWidth="1"/>
    <col min="10" max="10" width="62.7109375" bestFit="1" customWidth="1"/>
    <col min="11" max="11" width="4.85546875" bestFit="1" customWidth="1"/>
    <col min="12" max="12" width="3.5703125" customWidth="1"/>
    <col min="14" max="14" width="24.42578125" customWidth="1"/>
    <col min="16" max="16" width="3.5703125" customWidth="1"/>
    <col min="17" max="17" width="15.7109375" style="19" customWidth="1"/>
    <col min="18" max="18" width="35.42578125" style="19" customWidth="1"/>
  </cols>
  <sheetData>
    <row r="2" spans="1:19" ht="12.95">
      <c r="A2" s="148" t="s">
        <v>127</v>
      </c>
      <c r="B2" s="148"/>
      <c r="C2" s="148"/>
      <c r="E2" s="148" t="s">
        <v>128</v>
      </c>
      <c r="F2" s="148"/>
      <c r="G2" s="39"/>
      <c r="I2" s="148" t="s">
        <v>129</v>
      </c>
      <c r="J2" s="148"/>
      <c r="K2" s="148"/>
      <c r="M2" s="148" t="s">
        <v>130</v>
      </c>
      <c r="N2" s="148"/>
      <c r="O2" s="148"/>
      <c r="Q2" s="149" t="s">
        <v>131</v>
      </c>
      <c r="R2" s="150"/>
      <c r="S2" s="150"/>
    </row>
    <row r="3" spans="1:19" ht="126">
      <c r="A3" s="11" t="s">
        <v>55</v>
      </c>
      <c r="B3" s="12" t="s">
        <v>132</v>
      </c>
      <c r="C3" s="85">
        <v>0.9</v>
      </c>
      <c r="D3" s="20"/>
      <c r="E3" s="21" t="s">
        <v>133</v>
      </c>
      <c r="F3" s="12" t="s">
        <v>134</v>
      </c>
      <c r="G3" s="23">
        <v>0.95</v>
      </c>
      <c r="H3" s="20"/>
      <c r="I3" s="21" t="s">
        <v>57</v>
      </c>
      <c r="J3" s="12" t="s">
        <v>135</v>
      </c>
      <c r="K3" s="23">
        <v>0.9</v>
      </c>
      <c r="L3" s="20"/>
      <c r="M3" s="21" t="s">
        <v>84</v>
      </c>
      <c r="N3" s="12" t="s">
        <v>136</v>
      </c>
      <c r="O3" s="23">
        <v>0.8</v>
      </c>
      <c r="P3" s="20"/>
      <c r="Q3" s="22" t="s">
        <v>137</v>
      </c>
      <c r="R3" s="42" t="s">
        <v>138</v>
      </c>
      <c r="S3" s="43">
        <v>0.95</v>
      </c>
    </row>
    <row r="4" spans="1:19" ht="56.1">
      <c r="A4" s="11" t="s">
        <v>139</v>
      </c>
      <c r="B4" s="12" t="s">
        <v>140</v>
      </c>
      <c r="C4" s="23">
        <v>0.6</v>
      </c>
      <c r="D4" s="20"/>
      <c r="E4" s="18" t="s">
        <v>89</v>
      </c>
      <c r="F4" s="12" t="s">
        <v>141</v>
      </c>
      <c r="G4" s="23">
        <v>0.6</v>
      </c>
      <c r="H4" s="20"/>
      <c r="I4" s="21" t="s">
        <v>142</v>
      </c>
      <c r="J4" s="12" t="s">
        <v>143</v>
      </c>
      <c r="K4" s="23">
        <v>0.6</v>
      </c>
      <c r="L4" s="20"/>
      <c r="M4" s="21" t="s">
        <v>58</v>
      </c>
      <c r="N4" s="12" t="s">
        <v>144</v>
      </c>
      <c r="O4" s="23">
        <v>0.4</v>
      </c>
      <c r="P4" s="20"/>
      <c r="Q4" s="22" t="s">
        <v>60</v>
      </c>
      <c r="R4" s="42" t="s">
        <v>145</v>
      </c>
      <c r="S4" s="43">
        <v>0.8</v>
      </c>
    </row>
    <row r="5" spans="1:19" ht="56.1">
      <c r="A5" s="11" t="s">
        <v>107</v>
      </c>
      <c r="B5" s="12" t="s">
        <v>146</v>
      </c>
      <c r="C5" s="23">
        <v>0.3</v>
      </c>
      <c r="D5" s="20"/>
      <c r="E5" s="21" t="s">
        <v>56</v>
      </c>
      <c r="F5" s="12" t="s">
        <v>147</v>
      </c>
      <c r="G5" s="23">
        <v>0.4</v>
      </c>
      <c r="H5" s="20"/>
      <c r="I5" s="21" t="s">
        <v>90</v>
      </c>
      <c r="J5" s="12" t="s">
        <v>148</v>
      </c>
      <c r="K5" s="23">
        <v>0.4</v>
      </c>
      <c r="L5" s="20"/>
      <c r="P5" s="20"/>
      <c r="Q5" s="22" t="s">
        <v>149</v>
      </c>
      <c r="R5" s="42" t="s">
        <v>150</v>
      </c>
      <c r="S5" s="43">
        <v>0.7</v>
      </c>
    </row>
    <row r="6" spans="1:19">
      <c r="Q6" s="22" t="s">
        <v>151</v>
      </c>
      <c r="R6" s="42" t="s">
        <v>150</v>
      </c>
      <c r="S6" s="43">
        <v>0.6</v>
      </c>
    </row>
    <row r="7" spans="1:19">
      <c r="Q7" s="22" t="s">
        <v>152</v>
      </c>
      <c r="R7" s="42" t="s">
        <v>153</v>
      </c>
      <c r="S7" s="43">
        <v>0.4</v>
      </c>
    </row>
    <row r="8" spans="1:19" ht="24.95">
      <c r="Q8" s="22" t="s">
        <v>154</v>
      </c>
      <c r="R8" s="42" t="s">
        <v>155</v>
      </c>
      <c r="S8" s="43">
        <v>0.2</v>
      </c>
    </row>
  </sheetData>
  <mergeCells count="5">
    <mergeCell ref="E2:F2"/>
    <mergeCell ref="A2:C2"/>
    <mergeCell ref="I2:K2"/>
    <mergeCell ref="M2:O2"/>
    <mergeCell ref="Q2:S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1"/>
  <sheetViews>
    <sheetView showGridLines="0" topLeftCell="G1" zoomScaleNormal="100" workbookViewId="0">
      <selection activeCell="G5" sqref="G5:L5"/>
    </sheetView>
  </sheetViews>
  <sheetFormatPr defaultColWidth="11.42578125" defaultRowHeight="12.6"/>
  <cols>
    <col min="1" max="1" width="17.28515625" style="13" customWidth="1"/>
    <col min="2" max="2" width="13.5703125" style="13" bestFit="1" customWidth="1"/>
    <col min="3" max="3" width="22.42578125" style="13" customWidth="1"/>
    <col min="4" max="4" width="55.140625" style="13" customWidth="1"/>
    <col min="5" max="5" width="2.28515625" style="13" customWidth="1"/>
    <col min="6" max="6" width="5.42578125" style="13" customWidth="1"/>
    <col min="7" max="7" width="6.7109375" style="13" customWidth="1"/>
    <col min="8" max="8" width="14" style="13" customWidth="1"/>
    <col min="9" max="9" width="9.5703125" style="13" customWidth="1"/>
    <col min="10" max="10" width="8.5703125" style="13" customWidth="1"/>
    <col min="11" max="11" width="14.140625" style="13" customWidth="1"/>
    <col min="12" max="12" width="8.5703125" style="13" customWidth="1"/>
    <col min="13" max="13" width="14.5703125" style="13" customWidth="1"/>
    <col min="14" max="14" width="3.85546875" style="13" customWidth="1"/>
    <col min="15" max="16" width="13" style="13" customWidth="1"/>
    <col min="17" max="17" width="3.140625" style="13" customWidth="1"/>
    <col min="18" max="19" width="11.7109375" style="13" hidden="1" customWidth="1"/>
    <col min="20" max="20" width="14.5703125" style="13" hidden="1" customWidth="1"/>
    <col min="21" max="21" width="3.140625" style="13" hidden="1" customWidth="1"/>
    <col min="22" max="22" width="15.140625" style="13" hidden="1" customWidth="1"/>
    <col min="23" max="23" width="21.42578125" style="13" hidden="1" customWidth="1"/>
    <col min="24" max="24" width="12.7109375" style="13" hidden="1" customWidth="1"/>
    <col min="25" max="25" width="15.28515625" style="13" bestFit="1" customWidth="1"/>
    <col min="26" max="26" width="7.85546875" style="13" bestFit="1" customWidth="1"/>
    <col min="27" max="27" width="11.85546875" style="13" bestFit="1" customWidth="1"/>
    <col min="28" max="28" width="8.42578125" style="13" bestFit="1" customWidth="1"/>
    <col min="29" max="29" width="15.140625" style="13" bestFit="1" customWidth="1"/>
    <col min="30" max="16384" width="11.42578125" style="13"/>
  </cols>
  <sheetData>
    <row r="1" spans="1:24" ht="30.75" customHeight="1" thickBot="1">
      <c r="A1" s="1" t="s">
        <v>156</v>
      </c>
      <c r="G1" s="153" t="s">
        <v>157</v>
      </c>
      <c r="H1" s="144"/>
      <c r="I1" s="144"/>
      <c r="J1" s="144"/>
      <c r="K1" s="144"/>
      <c r="L1" s="144"/>
      <c r="M1" s="145"/>
      <c r="O1" s="155" t="s">
        <v>158</v>
      </c>
      <c r="P1" s="156"/>
      <c r="R1" s="151" t="s">
        <v>18</v>
      </c>
      <c r="S1" s="151"/>
      <c r="T1" s="86" t="s">
        <v>19</v>
      </c>
    </row>
    <row r="2" spans="1:24" ht="26.25" customHeight="1">
      <c r="A2" s="7" t="s">
        <v>159</v>
      </c>
      <c r="B2" s="8" t="s">
        <v>160</v>
      </c>
      <c r="C2" s="9" t="s">
        <v>161</v>
      </c>
      <c r="D2" s="9" t="s">
        <v>162</v>
      </c>
      <c r="F2" s="146" t="s">
        <v>19</v>
      </c>
      <c r="G2" s="21">
        <v>5</v>
      </c>
      <c r="H2" s="24" t="s">
        <v>115</v>
      </c>
      <c r="I2" s="25">
        <f>+I8*G2</f>
        <v>5</v>
      </c>
      <c r="J2" s="26">
        <f>+J8*G2</f>
        <v>10</v>
      </c>
      <c r="K2" s="27">
        <f>+K8*G2</f>
        <v>15</v>
      </c>
      <c r="L2" s="27">
        <f>+L8*G2</f>
        <v>20</v>
      </c>
      <c r="M2" s="27">
        <f>+M8*G2</f>
        <v>25</v>
      </c>
      <c r="O2" s="27"/>
      <c r="P2" s="21" t="s">
        <v>163</v>
      </c>
      <c r="R2" s="6" t="s">
        <v>162</v>
      </c>
      <c r="S2" s="6" t="s">
        <v>160</v>
      </c>
      <c r="T2" s="10" t="s">
        <v>160</v>
      </c>
      <c r="V2" s="41" t="s">
        <v>164</v>
      </c>
      <c r="W2" s="41" t="s">
        <v>165</v>
      </c>
      <c r="X2" s="40" t="s">
        <v>166</v>
      </c>
    </row>
    <row r="3" spans="1:24" ht="25.5">
      <c r="A3" s="152">
        <v>5</v>
      </c>
      <c r="B3" s="152" t="s">
        <v>167</v>
      </c>
      <c r="C3" s="154" t="s">
        <v>168</v>
      </c>
      <c r="D3" s="87" t="s">
        <v>169</v>
      </c>
      <c r="F3" s="146"/>
      <c r="G3" s="28">
        <v>4</v>
      </c>
      <c r="H3" s="24" t="s">
        <v>116</v>
      </c>
      <c r="I3" s="29">
        <f>+I8*G3</f>
        <v>4</v>
      </c>
      <c r="J3" s="25">
        <f>+J8*G3</f>
        <v>8</v>
      </c>
      <c r="K3" s="26">
        <f>+K8*G3</f>
        <v>12</v>
      </c>
      <c r="L3" s="27">
        <f>+L8*G3</f>
        <v>16</v>
      </c>
      <c r="M3" s="27">
        <f>+M8*G3</f>
        <v>20</v>
      </c>
      <c r="O3" s="26"/>
      <c r="P3" s="21" t="s">
        <v>86</v>
      </c>
      <c r="R3" s="21" t="s">
        <v>170</v>
      </c>
      <c r="S3" s="21" t="s">
        <v>167</v>
      </c>
      <c r="T3" s="21" t="s">
        <v>171</v>
      </c>
      <c r="V3" s="21" t="s">
        <v>172</v>
      </c>
      <c r="W3" s="21" t="s">
        <v>173</v>
      </c>
      <c r="X3" s="21" t="s">
        <v>174</v>
      </c>
    </row>
    <row r="4" spans="1:24" ht="25.5">
      <c r="A4" s="152"/>
      <c r="B4" s="152"/>
      <c r="C4" s="154"/>
      <c r="D4" s="87" t="s">
        <v>175</v>
      </c>
      <c r="E4" s="83"/>
      <c r="F4" s="146"/>
      <c r="G4" s="28">
        <v>3</v>
      </c>
      <c r="H4" s="24" t="s">
        <v>117</v>
      </c>
      <c r="I4" s="29">
        <f>+I8*G4</f>
        <v>3</v>
      </c>
      <c r="J4" s="25">
        <f>+J8*G4</f>
        <v>6</v>
      </c>
      <c r="K4" s="26">
        <f>+K8*G4</f>
        <v>9</v>
      </c>
      <c r="L4" s="27">
        <f>+L8*G4</f>
        <v>12</v>
      </c>
      <c r="M4" s="27">
        <f>+M8*G4</f>
        <v>15</v>
      </c>
      <c r="O4" s="25"/>
      <c r="P4" s="21" t="s">
        <v>81</v>
      </c>
      <c r="R4" s="21" t="s">
        <v>176</v>
      </c>
      <c r="S4" s="21" t="s">
        <v>79</v>
      </c>
      <c r="T4" s="21" t="s">
        <v>177</v>
      </c>
      <c r="V4" s="21" t="s">
        <v>178</v>
      </c>
      <c r="W4" s="21" t="s">
        <v>179</v>
      </c>
      <c r="X4" s="21" t="s">
        <v>180</v>
      </c>
    </row>
    <row r="5" spans="1:24" ht="12.95">
      <c r="A5" s="152"/>
      <c r="B5" s="152"/>
      <c r="C5" s="154"/>
      <c r="D5" s="87" t="s">
        <v>181</v>
      </c>
      <c r="E5" s="83"/>
      <c r="F5" s="146"/>
      <c r="G5" s="28">
        <v>2</v>
      </c>
      <c r="H5" s="24" t="s">
        <v>118</v>
      </c>
      <c r="I5" s="29">
        <f>+I8*G5</f>
        <v>2</v>
      </c>
      <c r="J5" s="29">
        <f>+J8*G5</f>
        <v>4</v>
      </c>
      <c r="K5" s="25">
        <f>+K8*G5</f>
        <v>6</v>
      </c>
      <c r="L5" s="26">
        <f>+L8*G5</f>
        <v>8</v>
      </c>
      <c r="M5" s="27">
        <f>+M8*G5</f>
        <v>10</v>
      </c>
      <c r="N5" s="83"/>
      <c r="O5" s="29"/>
      <c r="P5" s="21" t="s">
        <v>182</v>
      </c>
      <c r="R5" s="21" t="s">
        <v>78</v>
      </c>
      <c r="S5" s="21" t="s">
        <v>81</v>
      </c>
      <c r="T5" s="21" t="s">
        <v>183</v>
      </c>
      <c r="V5" s="21" t="s">
        <v>184</v>
      </c>
      <c r="W5" s="21" t="s">
        <v>185</v>
      </c>
      <c r="X5" s="21" t="s">
        <v>186</v>
      </c>
    </row>
    <row r="6" spans="1:24" ht="12.95">
      <c r="A6" s="152"/>
      <c r="B6" s="152"/>
      <c r="C6" s="154"/>
      <c r="D6" s="87" t="s">
        <v>187</v>
      </c>
      <c r="E6" s="83"/>
      <c r="F6" s="146"/>
      <c r="G6" s="28">
        <v>1</v>
      </c>
      <c r="H6" s="24" t="s">
        <v>119</v>
      </c>
      <c r="I6" s="29">
        <f>+I8*G6</f>
        <v>1</v>
      </c>
      <c r="J6" s="29">
        <f>+J8*G6</f>
        <v>2</v>
      </c>
      <c r="K6" s="29">
        <f>+K8*G6</f>
        <v>3</v>
      </c>
      <c r="L6" s="25">
        <f>+L8*G6</f>
        <v>4</v>
      </c>
      <c r="M6" s="26">
        <f>+M8*G6</f>
        <v>5</v>
      </c>
      <c r="N6" s="83"/>
      <c r="P6" s="83"/>
      <c r="R6" s="21" t="s">
        <v>188</v>
      </c>
      <c r="S6" s="21" t="s">
        <v>189</v>
      </c>
      <c r="T6" s="21" t="s">
        <v>190</v>
      </c>
      <c r="V6" s="21"/>
      <c r="W6" s="21" t="s">
        <v>191</v>
      </c>
      <c r="X6" s="21" t="s">
        <v>192</v>
      </c>
    </row>
    <row r="7" spans="1:24" ht="12.95">
      <c r="A7" s="152">
        <v>4</v>
      </c>
      <c r="B7" s="152" t="s">
        <v>79</v>
      </c>
      <c r="C7" s="154" t="s">
        <v>193</v>
      </c>
      <c r="D7" s="87" t="s">
        <v>194</v>
      </c>
      <c r="E7" s="83"/>
      <c r="F7" s="146"/>
      <c r="G7" s="28"/>
      <c r="H7" s="28"/>
      <c r="I7" s="24" t="s">
        <v>122</v>
      </c>
      <c r="J7" s="24" t="s">
        <v>123</v>
      </c>
      <c r="K7" s="24" t="s">
        <v>124</v>
      </c>
      <c r="L7" s="24" t="s">
        <v>125</v>
      </c>
      <c r="M7" s="24" t="s">
        <v>126</v>
      </c>
      <c r="N7" s="83"/>
      <c r="O7" s="83"/>
      <c r="P7" s="83"/>
      <c r="S7" s="21" t="s">
        <v>195</v>
      </c>
      <c r="T7" s="21" t="s">
        <v>196</v>
      </c>
      <c r="V7" s="21"/>
      <c r="W7" s="28"/>
      <c r="X7" s="21"/>
    </row>
    <row r="8" spans="1:24" ht="25.5">
      <c r="A8" s="152"/>
      <c r="B8" s="152"/>
      <c r="C8" s="154"/>
      <c r="D8" s="87" t="s">
        <v>197</v>
      </c>
      <c r="E8" s="83"/>
      <c r="F8" s="146"/>
      <c r="G8" s="28"/>
      <c r="H8" s="28"/>
      <c r="I8" s="28">
        <v>1</v>
      </c>
      <c r="J8" s="28">
        <v>2</v>
      </c>
      <c r="K8" s="28">
        <v>3</v>
      </c>
      <c r="L8" s="28">
        <v>4</v>
      </c>
      <c r="M8" s="28">
        <v>5</v>
      </c>
      <c r="N8" s="83"/>
      <c r="O8" s="83"/>
      <c r="P8" s="83"/>
    </row>
    <row r="9" spans="1:24" ht="12.95">
      <c r="A9" s="152"/>
      <c r="B9" s="152"/>
      <c r="C9" s="154"/>
      <c r="D9" s="87" t="s">
        <v>198</v>
      </c>
      <c r="E9" s="83"/>
      <c r="F9" s="83"/>
      <c r="G9" s="83"/>
      <c r="H9" s="83"/>
      <c r="I9" s="83"/>
      <c r="J9" s="83"/>
      <c r="K9" s="83"/>
      <c r="L9" s="83"/>
      <c r="M9" s="83"/>
      <c r="N9" s="83"/>
      <c r="O9" s="83"/>
      <c r="P9" s="83"/>
    </row>
    <row r="10" spans="1:24" ht="12.95">
      <c r="A10" s="152"/>
      <c r="B10" s="152"/>
      <c r="C10" s="154"/>
      <c r="D10" s="87" t="s">
        <v>199</v>
      </c>
      <c r="E10" s="83"/>
      <c r="F10" s="83"/>
      <c r="G10" s="83"/>
      <c r="H10" s="83"/>
      <c r="I10" s="147" t="s">
        <v>18</v>
      </c>
      <c r="J10" s="147"/>
      <c r="K10" s="147"/>
      <c r="L10" s="147"/>
      <c r="M10" s="147"/>
      <c r="N10" s="83"/>
      <c r="O10" s="83"/>
      <c r="P10" s="83"/>
    </row>
    <row r="11" spans="1:24" ht="25.5">
      <c r="A11" s="152">
        <v>3</v>
      </c>
      <c r="B11" s="152" t="s">
        <v>81</v>
      </c>
      <c r="C11" s="154" t="s">
        <v>200</v>
      </c>
      <c r="D11" s="87" t="s">
        <v>201</v>
      </c>
      <c r="E11" s="83"/>
      <c r="F11" s="83"/>
      <c r="G11" s="83"/>
      <c r="H11" s="83"/>
      <c r="I11" s="83"/>
      <c r="J11" s="83"/>
      <c r="K11" s="83"/>
      <c r="L11" s="83"/>
      <c r="M11" s="83"/>
      <c r="N11" s="83"/>
      <c r="O11" s="83"/>
      <c r="P11" s="83"/>
    </row>
    <row r="12" spans="1:24" ht="25.5">
      <c r="A12" s="152"/>
      <c r="B12" s="152"/>
      <c r="C12" s="154"/>
      <c r="D12" s="87" t="s">
        <v>202</v>
      </c>
      <c r="E12" s="83"/>
      <c r="F12" s="83"/>
      <c r="G12" s="83"/>
      <c r="H12" s="83"/>
      <c r="I12" s="83"/>
      <c r="J12" s="83"/>
      <c r="K12" s="83"/>
      <c r="L12" s="83"/>
      <c r="M12" s="83"/>
      <c r="N12" s="83"/>
      <c r="O12" s="83"/>
      <c r="P12" s="83"/>
    </row>
    <row r="13" spans="1:24" ht="12.95">
      <c r="A13" s="152"/>
      <c r="B13" s="152"/>
      <c r="C13" s="154"/>
      <c r="D13" s="87" t="s">
        <v>203</v>
      </c>
      <c r="E13" s="83"/>
      <c r="F13" s="83"/>
      <c r="G13" s="83"/>
      <c r="H13" s="83"/>
      <c r="I13" s="83"/>
      <c r="J13" s="83"/>
      <c r="K13" s="83"/>
      <c r="L13" s="83"/>
      <c r="M13" s="83"/>
      <c r="N13" s="83"/>
      <c r="O13" s="83"/>
      <c r="P13" s="83"/>
    </row>
    <row r="14" spans="1:24" ht="12.95">
      <c r="A14" s="152"/>
      <c r="B14" s="152"/>
      <c r="C14" s="154"/>
      <c r="D14" s="87" t="s">
        <v>204</v>
      </c>
      <c r="E14" s="83"/>
      <c r="F14" s="83"/>
      <c r="G14" s="83"/>
      <c r="H14" s="83"/>
      <c r="I14" s="83"/>
      <c r="J14" s="83"/>
      <c r="K14" s="83"/>
      <c r="L14" s="83"/>
      <c r="M14" s="83"/>
      <c r="N14" s="83"/>
      <c r="O14" s="83"/>
      <c r="P14" s="83"/>
    </row>
    <row r="15" spans="1:24" ht="12.95">
      <c r="A15" s="152">
        <v>2</v>
      </c>
      <c r="B15" s="152" t="s">
        <v>189</v>
      </c>
      <c r="C15" s="154" t="s">
        <v>205</v>
      </c>
      <c r="D15" s="87" t="s">
        <v>206</v>
      </c>
      <c r="E15" s="83"/>
      <c r="F15" s="83"/>
      <c r="G15" s="83"/>
      <c r="H15" s="83"/>
      <c r="I15" s="83"/>
      <c r="J15" s="83"/>
      <c r="K15" s="83"/>
      <c r="L15" s="83"/>
      <c r="M15" s="83"/>
      <c r="N15" s="83"/>
      <c r="O15" s="83"/>
      <c r="P15" s="83"/>
    </row>
    <row r="16" spans="1:24" ht="38.1">
      <c r="A16" s="152"/>
      <c r="B16" s="152"/>
      <c r="C16" s="154"/>
      <c r="D16" s="87" t="s">
        <v>207</v>
      </c>
      <c r="E16" s="83"/>
      <c r="F16" s="83"/>
      <c r="G16" s="83"/>
      <c r="H16" s="83"/>
      <c r="I16" s="83"/>
      <c r="J16" s="83"/>
      <c r="K16" s="83"/>
      <c r="L16" s="83"/>
      <c r="M16" s="83"/>
      <c r="N16" s="83"/>
      <c r="O16" s="83"/>
      <c r="P16" s="83"/>
    </row>
    <row r="17" spans="1:16" ht="12.95">
      <c r="A17" s="152"/>
      <c r="B17" s="152"/>
      <c r="C17" s="154"/>
      <c r="D17" s="87" t="s">
        <v>208</v>
      </c>
      <c r="E17" s="83"/>
      <c r="F17" s="83"/>
      <c r="G17" s="83"/>
      <c r="H17" s="83"/>
      <c r="I17" s="83"/>
      <c r="J17" s="83"/>
      <c r="K17" s="83"/>
      <c r="L17" s="83"/>
      <c r="M17" s="83"/>
      <c r="N17" s="83"/>
      <c r="O17" s="83"/>
      <c r="P17" s="83"/>
    </row>
    <row r="18" spans="1:16" ht="12.95">
      <c r="A18" s="152"/>
      <c r="B18" s="152"/>
      <c r="C18" s="154"/>
      <c r="D18" s="87" t="s">
        <v>209</v>
      </c>
      <c r="E18" s="83"/>
      <c r="F18" s="83"/>
      <c r="G18" s="83"/>
      <c r="H18" s="83"/>
      <c r="I18" s="83"/>
      <c r="J18" s="83"/>
      <c r="K18" s="83"/>
      <c r="L18" s="83"/>
      <c r="M18" s="83"/>
      <c r="N18" s="83"/>
      <c r="O18" s="83"/>
      <c r="P18" s="83"/>
    </row>
    <row r="19" spans="1:16" ht="12.95">
      <c r="A19" s="157">
        <v>1</v>
      </c>
      <c r="B19" s="152" t="s">
        <v>195</v>
      </c>
      <c r="C19" s="154" t="s">
        <v>205</v>
      </c>
      <c r="D19" s="87" t="s">
        <v>210</v>
      </c>
      <c r="E19" s="83"/>
      <c r="F19" s="83"/>
      <c r="G19" s="83"/>
      <c r="H19" s="83"/>
      <c r="I19" s="83"/>
      <c r="J19" s="83"/>
      <c r="K19" s="83"/>
      <c r="L19" s="83"/>
      <c r="M19" s="83"/>
      <c r="N19" s="83"/>
      <c r="O19" s="83"/>
      <c r="P19" s="83"/>
    </row>
    <row r="20" spans="1:16" ht="25.5">
      <c r="A20" s="157"/>
      <c r="B20" s="152"/>
      <c r="C20" s="154"/>
      <c r="D20" s="87" t="s">
        <v>211</v>
      </c>
      <c r="E20" s="83"/>
      <c r="F20" s="83"/>
      <c r="G20" s="83"/>
      <c r="H20" s="83"/>
      <c r="I20" s="83"/>
      <c r="J20" s="83"/>
      <c r="K20" s="83"/>
      <c r="L20" s="83"/>
      <c r="M20" s="83"/>
      <c r="N20" s="83"/>
      <c r="O20" s="83"/>
      <c r="P20" s="83"/>
    </row>
    <row r="21" spans="1:16" ht="16.5" customHeight="1">
      <c r="A21" s="157"/>
      <c r="B21" s="152"/>
      <c r="C21" s="154"/>
      <c r="D21" s="87" t="s">
        <v>212</v>
      </c>
      <c r="E21" s="83"/>
      <c r="F21" s="83"/>
      <c r="G21" s="83"/>
      <c r="H21" s="83"/>
      <c r="I21" s="83"/>
      <c r="J21" s="83"/>
      <c r="K21" s="83"/>
      <c r="L21" s="83"/>
      <c r="M21" s="83"/>
      <c r="N21" s="83"/>
      <c r="O21" s="83"/>
      <c r="P21" s="83"/>
    </row>
    <row r="22" spans="1:16" ht="12.95">
      <c r="A22" s="157"/>
      <c r="B22" s="152"/>
      <c r="C22" s="154"/>
      <c r="D22" s="87" t="s">
        <v>213</v>
      </c>
      <c r="E22" s="83"/>
      <c r="F22" s="83"/>
      <c r="G22" s="83"/>
      <c r="H22" s="83"/>
      <c r="I22" s="83"/>
      <c r="J22" s="83"/>
      <c r="K22" s="83"/>
      <c r="L22" s="83"/>
      <c r="M22" s="83"/>
      <c r="N22" s="83"/>
      <c r="O22" s="83"/>
      <c r="P22" s="83"/>
    </row>
    <row r="25" spans="1:16" ht="15.6">
      <c r="A25" s="1" t="s">
        <v>214</v>
      </c>
    </row>
    <row r="26" spans="1:16" ht="12.95">
      <c r="A26" s="2" t="s">
        <v>159</v>
      </c>
      <c r="B26" s="2" t="s">
        <v>160</v>
      </c>
      <c r="C26" s="3" t="s">
        <v>215</v>
      </c>
      <c r="D26" s="3" t="s">
        <v>216</v>
      </c>
    </row>
    <row r="27" spans="1:16" ht="37.5">
      <c r="A27" s="4">
        <v>5</v>
      </c>
      <c r="B27" s="5" t="s">
        <v>171</v>
      </c>
      <c r="C27" s="18" t="s">
        <v>217</v>
      </c>
      <c r="D27" s="18" t="s">
        <v>218</v>
      </c>
      <c r="E27" s="88"/>
      <c r="F27" s="88"/>
      <c r="G27" s="88"/>
      <c r="H27" s="88"/>
      <c r="I27" s="88"/>
      <c r="J27" s="88"/>
      <c r="K27" s="88"/>
      <c r="L27" s="88"/>
      <c r="M27" s="88"/>
      <c r="N27" s="88"/>
      <c r="O27" s="88"/>
      <c r="P27" s="88"/>
    </row>
    <row r="28" spans="1:16" ht="24.95">
      <c r="A28" s="4">
        <v>4</v>
      </c>
      <c r="B28" s="5" t="s">
        <v>177</v>
      </c>
      <c r="C28" s="18" t="s">
        <v>219</v>
      </c>
      <c r="D28" s="18" t="s">
        <v>220</v>
      </c>
      <c r="E28" s="88"/>
      <c r="F28" s="88"/>
      <c r="G28" s="88"/>
      <c r="H28" s="88"/>
      <c r="I28" s="88"/>
      <c r="J28" s="88"/>
      <c r="K28" s="88"/>
      <c r="L28" s="88"/>
      <c r="M28" s="88"/>
      <c r="N28" s="88"/>
      <c r="O28" s="88"/>
      <c r="P28" s="88"/>
    </row>
    <row r="29" spans="1:16" ht="24.95">
      <c r="A29" s="4">
        <v>3</v>
      </c>
      <c r="B29" s="5" t="s">
        <v>183</v>
      </c>
      <c r="C29" s="18" t="s">
        <v>221</v>
      </c>
      <c r="D29" s="18" t="s">
        <v>222</v>
      </c>
      <c r="E29" s="88"/>
      <c r="F29" s="88"/>
      <c r="G29" s="88"/>
      <c r="H29" s="88"/>
      <c r="I29" s="88"/>
      <c r="J29" s="88"/>
      <c r="K29" s="88"/>
      <c r="L29" s="88"/>
      <c r="M29" s="88"/>
      <c r="N29" s="88"/>
      <c r="O29" s="88"/>
      <c r="P29" s="88"/>
    </row>
    <row r="30" spans="1:16" ht="37.5">
      <c r="A30" s="4">
        <v>2</v>
      </c>
      <c r="B30" s="5" t="s">
        <v>190</v>
      </c>
      <c r="C30" s="18" t="s">
        <v>223</v>
      </c>
      <c r="D30" s="18" t="s">
        <v>224</v>
      </c>
      <c r="E30" s="88"/>
      <c r="F30" s="88"/>
      <c r="G30" s="88"/>
      <c r="H30" s="88"/>
      <c r="I30" s="88"/>
      <c r="J30" s="88"/>
      <c r="K30" s="88"/>
      <c r="L30" s="88"/>
      <c r="M30" s="88"/>
      <c r="N30" s="88"/>
      <c r="O30" s="88"/>
      <c r="P30" s="88"/>
    </row>
    <row r="31" spans="1:16" ht="37.5">
      <c r="A31" s="4">
        <v>1</v>
      </c>
      <c r="B31" s="5" t="s">
        <v>196</v>
      </c>
      <c r="C31" s="18" t="s">
        <v>225</v>
      </c>
      <c r="D31" s="18" t="s">
        <v>226</v>
      </c>
      <c r="E31" s="88"/>
      <c r="F31" s="88"/>
      <c r="G31" s="88"/>
      <c r="H31" s="88"/>
      <c r="I31" s="88"/>
      <c r="J31" s="88"/>
      <c r="K31" s="88"/>
      <c r="L31" s="88"/>
      <c r="M31" s="88"/>
      <c r="N31" s="88"/>
      <c r="O31" s="88"/>
      <c r="P31" s="88"/>
    </row>
  </sheetData>
  <mergeCells count="20">
    <mergeCell ref="C19:C22"/>
    <mergeCell ref="B19:B22"/>
    <mergeCell ref="A3:A6"/>
    <mergeCell ref="B3:B6"/>
    <mergeCell ref="C3:C6"/>
    <mergeCell ref="A19:A22"/>
    <mergeCell ref="B11:B14"/>
    <mergeCell ref="A11:A14"/>
    <mergeCell ref="C15:C18"/>
    <mergeCell ref="B15:B18"/>
    <mergeCell ref="A15:A18"/>
    <mergeCell ref="C11:C14"/>
    <mergeCell ref="R1:S1"/>
    <mergeCell ref="F2:F8"/>
    <mergeCell ref="A7:A10"/>
    <mergeCell ref="I10:M10"/>
    <mergeCell ref="G1:M1"/>
    <mergeCell ref="C7:C10"/>
    <mergeCell ref="B7:B10"/>
    <mergeCell ref="O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739D-89D3-4821-BE7B-51D6B0AFDDB7}">
  <dimension ref="A1:B21"/>
  <sheetViews>
    <sheetView showGridLines="0" workbookViewId="0">
      <selection activeCell="B19" sqref="B19"/>
    </sheetView>
  </sheetViews>
  <sheetFormatPr defaultColWidth="11.42578125" defaultRowHeight="12.6"/>
  <cols>
    <col min="1" max="1" width="34.140625" bestFit="1" customWidth="1"/>
    <col min="2" max="2" width="38.140625" bestFit="1" customWidth="1"/>
  </cols>
  <sheetData>
    <row r="1" spans="1:2" ht="15.6">
      <c r="A1" s="44" t="s">
        <v>227</v>
      </c>
      <c r="B1" s="44" t="s">
        <v>228</v>
      </c>
    </row>
    <row r="2" spans="1:2">
      <c r="A2" t="s">
        <v>229</v>
      </c>
      <c r="B2" s="45" t="s">
        <v>110</v>
      </c>
    </row>
    <row r="3" spans="1:2">
      <c r="A3" t="s">
        <v>230</v>
      </c>
      <c r="B3" t="s">
        <v>231</v>
      </c>
    </row>
    <row r="4" spans="1:2">
      <c r="A4" t="s">
        <v>232</v>
      </c>
      <c r="B4" t="s">
        <v>233</v>
      </c>
    </row>
    <row r="5" spans="1:2">
      <c r="A5" t="s">
        <v>234</v>
      </c>
      <c r="B5" t="s">
        <v>235</v>
      </c>
    </row>
    <row r="6" spans="1:2">
      <c r="A6" t="s">
        <v>236</v>
      </c>
      <c r="B6" t="s">
        <v>237</v>
      </c>
    </row>
    <row r="7" spans="1:2">
      <c r="A7" t="s">
        <v>238</v>
      </c>
      <c r="B7" t="s">
        <v>239</v>
      </c>
    </row>
    <row r="8" spans="1:2">
      <c r="A8" t="s">
        <v>240</v>
      </c>
      <c r="B8" t="s">
        <v>241</v>
      </c>
    </row>
    <row r="9" spans="1:2">
      <c r="A9" t="s">
        <v>242</v>
      </c>
      <c r="B9" t="s">
        <v>243</v>
      </c>
    </row>
    <row r="10" spans="1:2">
      <c r="A10" t="s">
        <v>244</v>
      </c>
      <c r="B10" t="s">
        <v>245</v>
      </c>
    </row>
    <row r="11" spans="1:2">
      <c r="A11" t="s">
        <v>246</v>
      </c>
      <c r="B11" t="s">
        <v>247</v>
      </c>
    </row>
    <row r="12" spans="1:2">
      <c r="A12" t="s">
        <v>248</v>
      </c>
      <c r="B12" t="s">
        <v>249</v>
      </c>
    </row>
    <row r="13" spans="1:2">
      <c r="A13" t="s">
        <v>250</v>
      </c>
      <c r="B13" t="s">
        <v>251</v>
      </c>
    </row>
    <row r="14" spans="1:2">
      <c r="A14" t="s">
        <v>252</v>
      </c>
      <c r="B14" t="s">
        <v>253</v>
      </c>
    </row>
    <row r="15" spans="1:2">
      <c r="A15" t="s">
        <v>254</v>
      </c>
      <c r="B15" t="s">
        <v>255</v>
      </c>
    </row>
    <row r="16" spans="1:2">
      <c r="A16" t="s">
        <v>256</v>
      </c>
      <c r="B16" t="s">
        <v>257</v>
      </c>
    </row>
    <row r="17" spans="1:2">
      <c r="A17" t="s">
        <v>258</v>
      </c>
      <c r="B17" s="45" t="s">
        <v>259</v>
      </c>
    </row>
    <row r="18" spans="1:2">
      <c r="B18" s="45" t="s">
        <v>260</v>
      </c>
    </row>
    <row r="19" spans="1:2">
      <c r="B19" s="45" t="s">
        <v>261</v>
      </c>
    </row>
    <row r="20" spans="1:2">
      <c r="B20" s="45" t="s">
        <v>262</v>
      </c>
    </row>
    <row r="21" spans="1:2">
      <c r="B21" s="45" t="s">
        <v>263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b055b-f336-4aed-bacd-b2f746a283bd" xsi:nil="true"/>
    <lcf76f155ced4ddcb4097134ff3c332f xmlns="e25453b2-e3d0-4f72-9d2b-327cfe84336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628AFA49C2DB24E95405783137BD1EC" ma:contentTypeVersion="18" ma:contentTypeDescription="Crear nuevo documento." ma:contentTypeScope="" ma:versionID="8d0e342099ae027a67f7abd1fa35feb7">
  <xsd:schema xmlns:xsd="http://www.w3.org/2001/XMLSchema" xmlns:xs="http://www.w3.org/2001/XMLSchema" xmlns:p="http://schemas.microsoft.com/office/2006/metadata/properties" xmlns:ns2="e25453b2-e3d0-4f72-9d2b-327cfe843361" xmlns:ns3="1aeb055b-f336-4aed-bacd-b2f746a283bd" targetNamespace="http://schemas.microsoft.com/office/2006/metadata/properties" ma:root="true" ma:fieldsID="27c95462bd6fd7dcc1c866104368eb7d" ns2:_="" ns3:_="">
    <xsd:import namespace="e25453b2-e3d0-4f72-9d2b-327cfe843361"/>
    <xsd:import namespace="1aeb055b-f336-4aed-bacd-b2f746a283b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5453b2-e3d0-4f72-9d2b-327cfe8433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f50aac5d-e006-4945-b589-3b0ca35ae8a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b055b-f336-4aed-bacd-b2f746a283bd"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a9983f19-b10f-485d-adec-4b16acf56df4}" ma:internalName="TaxCatchAll" ma:showField="CatchAllData" ma:web="1aeb055b-f336-4aed-bacd-b2f746a283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F21FBC-CCCF-47B4-BCD6-62C80A9A918E}"/>
</file>

<file path=customXml/itemProps2.xml><?xml version="1.0" encoding="utf-8"?>
<ds:datastoreItem xmlns:ds="http://schemas.openxmlformats.org/officeDocument/2006/customXml" ds:itemID="{B8866FF0-65A2-4666-86CB-1C399324C5D3}"/>
</file>

<file path=customXml/itemProps3.xml><?xml version="1.0" encoding="utf-8"?>
<ds:datastoreItem xmlns:ds="http://schemas.openxmlformats.org/officeDocument/2006/customXml" ds:itemID="{6A1F39A1-5146-4C37-9F99-9F0726776148}"/>
</file>

<file path=docProps/app.xml><?xml version="1.0" encoding="utf-8"?>
<Properties xmlns="http://schemas.openxmlformats.org/officeDocument/2006/extended-properties" xmlns:vt="http://schemas.openxmlformats.org/officeDocument/2006/docPropsVTypes">
  <Application>Microsoft Excel Online</Application>
  <Manager/>
  <Company>Compunet 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varglu</dc:creator>
  <cp:keywords/>
  <dc:description/>
  <cp:lastModifiedBy/>
  <cp:revision/>
  <dcterms:created xsi:type="dcterms:W3CDTF">2007-12-09T21:56:13Z</dcterms:created>
  <dcterms:modified xsi:type="dcterms:W3CDTF">2026-07-22T19:31:49Z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sync_UniqueId">
    <vt:lpwstr>5315</vt:lpwstr>
  </property>
  <property fmtid="{D5CDD505-2E9C-101B-9397-08002B2CF9AE}" pid="3" name="Jive_VersionGuid">
    <vt:lpwstr>617ce0d9-7682-467b-9b27-c82d6e44bcec</vt:lpwstr>
  </property>
  <property fmtid="{D5CDD505-2E9C-101B-9397-08002B2CF9AE}" pid="4" name="Jive_LatestFileFullName">
    <vt:lpwstr/>
  </property>
  <property fmtid="{D5CDD505-2E9C-101B-9397-08002B2CF9AE}" pid="5" name="Jive_PrevVersionNumber">
    <vt:lpwstr/>
  </property>
  <property fmtid="{D5CDD505-2E9C-101B-9397-08002B2CF9AE}" pid="6" name="Jive_VersionGuid_v2.5">
    <vt:lpwstr/>
  </property>
  <property fmtid="{D5CDD505-2E9C-101B-9397-08002B2CF9AE}" pid="7" name="Jive_LatestUserAccountName">
    <vt:lpwstr>diana.parra@grupocnet.com</vt:lpwstr>
  </property>
  <property fmtid="{D5CDD505-2E9C-101B-9397-08002B2CF9AE}" pid="8" name="Offisync_UpdateToken">
    <vt:lpwstr>3</vt:lpwstr>
  </property>
  <property fmtid="{D5CDD505-2E9C-101B-9397-08002B2CF9AE}" pid="9" name="Jive_ModifiedButNotPublished">
    <vt:lpwstr/>
  </property>
  <property fmtid="{D5CDD505-2E9C-101B-9397-08002B2CF9AE}" pid="10" name="Offisync_ProviderInitializationData">
    <vt:lpwstr>https://grupocnet.jiveon.com</vt:lpwstr>
  </property>
  <property fmtid="{D5CDD505-2E9C-101B-9397-08002B2CF9AE}" pid="11" name="Offisync_ServerID">
    <vt:lpwstr>b68345eb-773b-4600-bf42-9d666e7d1740</vt:lpwstr>
  </property>
  <property fmtid="{D5CDD505-2E9C-101B-9397-08002B2CF9AE}" pid="12" name="ContentTypeId">
    <vt:lpwstr>0x0101006628AFA49C2DB24E95405783137BD1EC</vt:lpwstr>
  </property>
  <property fmtid="{D5CDD505-2E9C-101B-9397-08002B2CF9AE}" pid="13" name="MediaServiceImageTags">
    <vt:lpwstr/>
  </property>
</Properties>
</file>